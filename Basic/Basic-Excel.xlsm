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Learning + Portfolio\Excel\Excel Basic - Advance\"/>
    </mc:Choice>
  </mc:AlternateContent>
  <xr:revisionPtr revIDLastSave="0" documentId="13_ncr:1_{789A4B09-5D2C-45B2-9B47-4F487F152D95}" xr6:coauthVersionLast="47" xr6:coauthVersionMax="47" xr10:uidLastSave="{00000000-0000-0000-0000-000000000000}"/>
  <bookViews>
    <workbookView xWindow="-120" yWindow="-120" windowWidth="20730" windowHeight="11040" xr2:uid="{DB4302E3-A5EE-4AD6-BD1F-2C32EE855F3A}"/>
  </bookViews>
  <sheets>
    <sheet name="Basic Excel" sheetId="1" r:id="rId1"/>
    <sheet name="Error + Help" sheetId="7" r:id="rId2"/>
  </sheets>
  <definedNames>
    <definedName name="_xlpm.diskon" hidden="1" xlm="1">#NAME?</definedName>
    <definedName name="_xlpm.harga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3" i="1" l="1"/>
  <c r="D190" i="1"/>
  <c r="D210" i="1" a="1"/>
  <c r="D210" i="1" s="1"/>
  <c r="D209" i="1"/>
  <c r="C219" i="1" a="1"/>
  <c r="C219" i="1" s="1"/>
  <c r="C226" i="1" a="1"/>
  <c r="C226" i="1" s="1"/>
  <c r="D233" i="1"/>
  <c r="G243" i="1"/>
  <c r="E261" i="1"/>
  <c r="E331" i="1" a="1"/>
  <c r="E331" i="1" s="1"/>
  <c r="E345" i="1" a="1"/>
  <c r="E345" i="1" s="1"/>
  <c r="E87" i="1" l="1"/>
  <c r="D180" i="1"/>
  <c r="D173" i="1"/>
  <c r="E337" i="1"/>
  <c r="D295" i="1" a="1"/>
  <c r="D314" i="1" s="1"/>
  <c r="D295" i="1" l="1"/>
  <c r="E295" i="1" s="1"/>
  <c r="D319" i="1"/>
  <c r="D326" i="1"/>
  <c r="D309" i="1"/>
  <c r="D302" i="1" a="1"/>
  <c r="D302" i="1" l="1"/>
  <c r="D235" i="1" l="1"/>
  <c r="D234" i="1"/>
  <c r="D20" i="1"/>
  <c r="D28" i="1"/>
  <c r="D27" i="1"/>
  <c r="D50" i="1"/>
  <c r="D49" i="1"/>
  <c r="D48" i="1"/>
  <c r="D47" i="1"/>
  <c r="D37" i="1"/>
  <c r="D36" i="1"/>
  <c r="D35" i="1"/>
  <c r="D34" i="1"/>
  <c r="D33" i="1"/>
  <c r="E253" i="1"/>
  <c r="C156" i="1"/>
  <c r="E66" i="1"/>
  <c r="E262" i="1"/>
  <c r="D284" i="1" a="1"/>
  <c r="D284" i="1" s="1"/>
  <c r="D281" i="1"/>
  <c r="D278" i="1"/>
  <c r="D275" i="1"/>
  <c r="D272" i="1"/>
  <c r="E263" i="1"/>
  <c r="E264" i="1"/>
  <c r="E265" i="1"/>
  <c r="E266" i="1"/>
  <c r="D22" i="1" l="1"/>
  <c r="D26" i="1"/>
  <c r="D200" i="1" a="1"/>
  <c r="D200" i="1" s="1"/>
  <c r="D199" i="1"/>
  <c r="D191" i="1" a="1"/>
  <c r="D191" i="1" s="1"/>
  <c r="E254" i="1"/>
  <c r="E255" i="1"/>
  <c r="E256" i="1"/>
  <c r="D189" i="1"/>
  <c r="D25" i="1"/>
  <c r="D19" i="1"/>
  <c r="D24" i="1"/>
  <c r="C164" i="1"/>
  <c r="C165" i="1"/>
  <c r="C166" i="1"/>
  <c r="C167" i="1"/>
  <c r="C168" i="1"/>
  <c r="C157" i="1"/>
  <c r="C158" i="1"/>
  <c r="D148" i="1"/>
  <c r="D149" i="1"/>
  <c r="D150" i="1"/>
  <c r="D151" i="1"/>
  <c r="C141" i="1"/>
  <c r="C142" i="1"/>
  <c r="C143" i="1"/>
  <c r="C140" i="1"/>
  <c r="D135" i="1"/>
  <c r="D133" i="1"/>
  <c r="D134" i="1"/>
  <c r="D132" i="1"/>
  <c r="D126" i="1"/>
  <c r="D127" i="1"/>
  <c r="D125" i="1"/>
  <c r="D118" i="1"/>
  <c r="D119" i="1"/>
  <c r="D120" i="1"/>
  <c r="D121" i="1"/>
  <c r="D117" i="1"/>
  <c r="F108" i="1"/>
  <c r="H108" i="1" s="1"/>
  <c r="F109" i="1"/>
  <c r="H109" i="1" s="1"/>
  <c r="F110" i="1"/>
  <c r="H110" i="1" s="1"/>
  <c r="F107" i="1"/>
  <c r="H107" i="1" s="1"/>
  <c r="C101" i="1"/>
  <c r="C100" i="1"/>
  <c r="C95" i="1"/>
  <c r="C94" i="1"/>
  <c r="E88" i="1"/>
  <c r="E89" i="1"/>
  <c r="C72" i="1"/>
  <c r="E67" i="1"/>
  <c r="D67" i="1"/>
  <c r="E64" i="1"/>
  <c r="E65" i="1"/>
  <c r="D63" i="1"/>
  <c r="D64" i="1"/>
  <c r="D65" i="1"/>
  <c r="D66" i="1"/>
  <c r="D62" i="1"/>
  <c r="D61" i="1"/>
  <c r="D23" i="1"/>
  <c r="D21" i="1"/>
  <c r="D18" i="1"/>
  <c r="D17" i="1"/>
  <c r="D16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<sst xmlns="http://schemas.openxmlformats.org/spreadsheetml/2006/main" count="663" uniqueCount="513">
  <si>
    <t>items</t>
  </si>
  <si>
    <t xml:space="preserve">quantity </t>
  </si>
  <si>
    <t>cost</t>
  </si>
  <si>
    <t>pumkin</t>
  </si>
  <si>
    <t>ladi finger</t>
  </si>
  <si>
    <t>potato</t>
  </si>
  <si>
    <t>tomato</t>
  </si>
  <si>
    <t xml:space="preserve">lemon </t>
  </si>
  <si>
    <t>ginger</t>
  </si>
  <si>
    <t>corriander</t>
  </si>
  <si>
    <t>cabbage</t>
  </si>
  <si>
    <t>giuard</t>
  </si>
  <si>
    <t>cucumber</t>
  </si>
  <si>
    <t>COUNT</t>
  </si>
  <si>
    <t>LEN</t>
  </si>
  <si>
    <t>untuk mencari nilai tertinggi</t>
  </si>
  <si>
    <t>nilai terendah</t>
  </si>
  <si>
    <t>nilai rata2</t>
  </si>
  <si>
    <t>menghitung JUMLAH karakter/huruf yg dipilih</t>
  </si>
  <si>
    <t>SUMIF</t>
  </si>
  <si>
    <t>AVERAGEIF</t>
  </si>
  <si>
    <t>mencari nilai rata2 dalam satu rentang sel yg memenuhi kriteria tertentu</t>
  </si>
  <si>
    <t>kombinasi beberapa text string/cell value dalam satu string</t>
  </si>
  <si>
    <t>first name</t>
  </si>
  <si>
    <t>last name</t>
  </si>
  <si>
    <t>full name</t>
  </si>
  <si>
    <t>putri</t>
  </si>
  <si>
    <t>ayu</t>
  </si>
  <si>
    <t>natasyah</t>
  </si>
  <si>
    <t>diva</t>
  </si>
  <si>
    <t>memasukkan text string + cell value - CONCAT(A31;" ";B31;" is an actor")</t>
  </si>
  <si>
    <t>menambahkan koma - CONCAT(A33;",";B33)</t>
  </si>
  <si>
    <t>menambahkan dash - CONCAT(A34;"-";B34)</t>
  </si>
  <si>
    <t>nata</t>
  </si>
  <si>
    <t>formula</t>
  </si>
  <si>
    <t>result</t>
  </si>
  <si>
    <t>CONCAT("today's date is ";TEXT(TODAY();"mmmmd,yyyy"))</t>
  </si>
  <si>
    <t>kombinasi text dengan fungsi - fungsi TEXT(TODAY(),"mmmm d, yyyy")) - untuk menghasilkan tanggal hari ini</t>
  </si>
  <si>
    <t>name</t>
  </si>
  <si>
    <t>email</t>
  </si>
  <si>
    <t>age</t>
  </si>
  <si>
    <t>concate with line break</t>
  </si>
  <si>
    <t>park sunghoon</t>
  </si>
  <si>
    <t>sunghoon@gmail.com</t>
  </si>
  <si>
    <t>lee heeseung</t>
  </si>
  <si>
    <t>heesenglee@gmail.com</t>
  </si>
  <si>
    <t>shim jaehyun</t>
  </si>
  <si>
    <t>shimshimjae@gmail.com</t>
  </si>
  <si>
    <t>NOTE: menggunakan (&amp;) sebagai pengganti (;) dalam fungsi bole</t>
  </si>
  <si>
    <t>student name</t>
  </si>
  <si>
    <t>maximum marks</t>
  </si>
  <si>
    <t>marks obtained</t>
  </si>
  <si>
    <t>not solved yet</t>
  </si>
  <si>
    <t>percentage of marks obtained</t>
  </si>
  <si>
    <t>emily</t>
  </si>
  <si>
    <t>theo</t>
  </si>
  <si>
    <t>scarlett</t>
  </si>
  <si>
    <t>20% dari 200</t>
  </si>
  <si>
    <t>soal</t>
  </si>
  <si>
    <t>jawaban</t>
  </si>
  <si>
    <t>menghitung 20% dari 200 - (=20% * 200)</t>
  </si>
  <si>
    <t>15% dari 35000</t>
  </si>
  <si>
    <t>salary</t>
  </si>
  <si>
    <t>pf production (12% salary)</t>
  </si>
  <si>
    <t>mencari 12% dari salary - (=12%*A72)</t>
  </si>
  <si>
    <t>science</t>
  </si>
  <si>
    <t>math</t>
  </si>
  <si>
    <t>social science</t>
  </si>
  <si>
    <t xml:space="preserve">pencentage </t>
  </si>
  <si>
    <t>jack</t>
  </si>
  <si>
    <t>henry</t>
  </si>
  <si>
    <t>hila</t>
  </si>
  <si>
    <t>keny</t>
  </si>
  <si>
    <t>total marks (100 each subject)</t>
  </si>
  <si>
    <t>IF FUNCTION</t>
  </si>
  <si>
    <t>marks</t>
  </si>
  <si>
    <t>status</t>
  </si>
  <si>
    <t>jay</t>
  </si>
  <si>
    <t>john</t>
  </si>
  <si>
    <t xml:space="preserve">rohan </t>
  </si>
  <si>
    <t>mohan</t>
  </si>
  <si>
    <t>dev</t>
  </si>
  <si>
    <t>IF FORMULA</t>
  </si>
  <si>
    <t xml:space="preserve">cek fungsi dan memberikan hasil value yang sesuai dengan kondisi, yaitu benar atau salah </t>
  </si>
  <si>
    <t xml:space="preserve">berfungsi untuk mengecek beberapa kondisi dalam satu waktu </t>
  </si>
  <si>
    <t>sub 1</t>
  </si>
  <si>
    <t>sub 2</t>
  </si>
  <si>
    <t>formula ini digunakan u/ cek kondisi A97 &amp; B97 apakah &gt; dari 90. jika ya, maka hasil = "A1 Grade", jika tidak = "Fail"</t>
  </si>
  <si>
    <t>IF &amp; OR FUNCTION</t>
  </si>
  <si>
    <t>IF &amp; AND FUNTION</t>
  </si>
  <si>
    <t>N/A</t>
  </si>
  <si>
    <t xml:space="preserve">fungsi u/ kondisi A104 &amp; B104 apakah &gt; dari 90 di salah satu nya, entah A104/B104. </t>
  </si>
  <si>
    <t>kondisi non-value atau cell berisi text,di pertimbangkan sebagai TRUE karena excel hanya mengevaluasi numeric value</t>
  </si>
  <si>
    <t>IF &amp; NOT FUNCTION</t>
  </si>
  <si>
    <t>ball color</t>
  </si>
  <si>
    <t>red</t>
  </si>
  <si>
    <t>blue</t>
  </si>
  <si>
    <t>green</t>
  </si>
  <si>
    <t>yellow</t>
  </si>
  <si>
    <t>cek apakah warna bola pada cell itu = "red" / tidak. Jika iya, maka "rejected" dan jika tidak "selected"</t>
  </si>
  <si>
    <t>u/ mengecek apakah salah satu cells memiliki kondisi yang TRUE</t>
  </si>
  <si>
    <t>me-reverse argumen yang diberikan. Jika  agumen NOT(TRUE) = FALSE, dan NOT(FALSE) = TRUE</t>
  </si>
  <si>
    <t>NESTED IF FUNCTION</t>
  </si>
  <si>
    <t>digunakan u/ evalusai beberapa kondisi, dan memberikan hasil yang berbeda sesuai kondisi tsb</t>
  </si>
  <si>
    <t>division</t>
  </si>
  <si>
    <t>ravi</t>
  </si>
  <si>
    <t>neeraj</t>
  </si>
  <si>
    <t>nindi</t>
  </si>
  <si>
    <t>paul</t>
  </si>
  <si>
    <t>rumus: =IF(B89&gt;=70;"Pass";"Fail")</t>
  </si>
  <si>
    <t>rumus : =IF(AND(A97&gt;90;B97&gt;90);"A1 Grade";"Fail")</t>
  </si>
  <si>
    <t>rumus: =IF(OR(A104&gt;90;B104&gt;90);"Pass";"Fail")</t>
  </si>
  <si>
    <t>rumus: =IF(NOT(A113="red");"Selected";"Rejected")</t>
  </si>
  <si>
    <t>rumus: =IF(B120&gt;=60;"1st Division";IF(B120&gt;=30;"2nd Division";IF(B120&gt;=10;"3rd Division";"Fail")))</t>
  </si>
  <si>
    <t>IF STATEMENT to RETURN Another CELL</t>
  </si>
  <si>
    <t>menggunakan fungsi IF untuk menghasilkan output dari rumus lainnya</t>
  </si>
  <si>
    <t>purchase amount</t>
  </si>
  <si>
    <t>discount</t>
  </si>
  <si>
    <t>rumus: =IF(A128&gt;=500;"20% Discount";IF(A128&gt;=200;"10% Discount";"No Discount"))</t>
  </si>
  <si>
    <t>IF FUNCTION with SPECIFIC TEXT</t>
  </si>
  <si>
    <t>dig. u/ check apakah cell memiliki spesifik teks yang kita cari. Digunakan fungsi IF dengan kombinasi "SEARCH" / "REGEMATCH"</t>
  </si>
  <si>
    <t xml:space="preserve">the project has been officially approved by the management team </t>
  </si>
  <si>
    <t>this proposal was discarded aster throught review</t>
  </si>
  <si>
    <t>our new product line has received approved certifications</t>
  </si>
  <si>
    <t>the board approved the budged for next quarter</t>
  </si>
  <si>
    <t>your request for remote work has been approved</t>
  </si>
  <si>
    <t>statement</t>
  </si>
  <si>
    <t>the design for remote work approved after multiple revisions</t>
  </si>
  <si>
    <t>rumus: =IF(ISNUMBER(SEARCH("approved";A135));"YES";"NO")</t>
  </si>
  <si>
    <t>memberikan diskon sesuai dengan statement yang diberikan dalam rumus</t>
  </si>
  <si>
    <t xml:space="preserve">NOTE: </t>
  </si>
  <si>
    <t>SEARCH = melihat dalam teks apakah ada "approved" dalam cell A135, jika ada maka hasIlnya angka (posisi dari huruf yang dicari)</t>
  </si>
  <si>
    <t>ISNUMBER = cek apakah hasil dari "SEARCH" itu adalah angka/bukan, jika angka, maka TRUE. Jika tidak - error - FALSE</t>
  </si>
  <si>
    <t>IF(ISNUMBER(…);"YES";"NO" = hasil akan "YES" jika teks yang dicari ada, dan "NO" ketika teks yang dicari tidak ada</t>
  </si>
  <si>
    <t>EXCEL BASIC</t>
  </si>
  <si>
    <t>PENJELASAN &amp; KETERANGAN</t>
  </si>
  <si>
    <t>BASIC FUNCTION</t>
  </si>
  <si>
    <t>CONCATENATE</t>
  </si>
  <si>
    <t>CONCAT WITH FUCNTION</t>
  </si>
  <si>
    <t>CONCATE WITH LINE BREAK</t>
  </si>
  <si>
    <t>PERCENTAGE</t>
  </si>
  <si>
    <t>CALCULATE NUMBER PERCENTAGE</t>
  </si>
  <si>
    <t>CALCULATE PERCENTAGE USING CELL REFERENCES</t>
  </si>
  <si>
    <t>&lt;== contoh tabel</t>
  </si>
  <si>
    <t>COUNTA</t>
  </si>
  <si>
    <t>onion</t>
  </si>
  <si>
    <t>hanya menghitung jumlah sel yang berisi angka / tgl</t>
  </si>
  <si>
    <t>menghitung semua sel yg tidak kosong, termasuk angka, teks, simbol, nilai logika, dan tanggal. Jika ada sel kosong, tidak masuk dihitung</t>
  </si>
  <si>
    <t>COUNTBLANK</t>
  </si>
  <si>
    <t>LEFT</t>
  </si>
  <si>
    <t>SUM</t>
  </si>
  <si>
    <t>MAX</t>
  </si>
  <si>
    <t>MIN</t>
  </si>
  <si>
    <t>AVERAGE</t>
  </si>
  <si>
    <t xml:space="preserve">    Name</t>
  </si>
  <si>
    <t>Type 1</t>
  </si>
  <si>
    <t xml:space="preserve">    Mankey</t>
  </si>
  <si>
    <t>Fighting</t>
  </si>
  <si>
    <t xml:space="preserve">    Poliwrath</t>
  </si>
  <si>
    <t>Water</t>
  </si>
  <si>
    <t xml:space="preserve">    Victreebel</t>
  </si>
  <si>
    <t>Grass</t>
  </si>
  <si>
    <t xml:space="preserve">    Tentacool</t>
  </si>
  <si>
    <t xml:space="preserve">    Magneton</t>
  </si>
  <si>
    <t>Electric</t>
  </si>
  <si>
    <t xml:space="preserve">    Dewgong</t>
  </si>
  <si>
    <t>Fire</t>
  </si>
  <si>
    <t>digunakan untuk mengambil sejumlah karakter yg dipilih, dihitung dari sisi "kiri" sel. Angka yang dipilih harus &gt;= 0 dan default = 1</t>
  </si>
  <si>
    <t>Result</t>
  </si>
  <si>
    <t>formula: =LEFT(B149) (single cell)</t>
  </si>
  <si>
    <t>formula: =LEFT(B150;4)</t>
  </si>
  <si>
    <t>formula: =LEFT(B151:B153;3)</t>
  </si>
  <si>
    <t xml:space="preserve">    ManKey</t>
  </si>
  <si>
    <t>FiGhTINg</t>
  </si>
  <si>
    <t xml:space="preserve">    pOLIwRAth</t>
  </si>
  <si>
    <t>WATER</t>
  </si>
  <si>
    <t xml:space="preserve">    VICtreeBeL</t>
  </si>
  <si>
    <t>GrASs</t>
  </si>
  <si>
    <t xml:space="preserve">    TentaCool</t>
  </si>
  <si>
    <t>WateR</t>
  </si>
  <si>
    <t xml:space="preserve">    MagNETon</t>
  </si>
  <si>
    <t>EleCTric</t>
  </si>
  <si>
    <t xml:space="preserve">    DeWgONg</t>
  </si>
  <si>
    <t>WaTEr</t>
  </si>
  <si>
    <t>membuat huruf besar menjadi huruf kecil</t>
  </si>
  <si>
    <t>rumus: =LOWER(A161)</t>
  </si>
  <si>
    <t>rumus: =LOWER(A163:B165)</t>
  </si>
  <si>
    <t xml:space="preserve">    Trainer</t>
  </si>
  <si>
    <t>Pokeball</t>
  </si>
  <si>
    <t>Great Ball</t>
  </si>
  <si>
    <t>Ultraball</t>
  </si>
  <si>
    <t>Master Ball</t>
  </si>
  <si>
    <t xml:space="preserve">    Iva</t>
  </si>
  <si>
    <t xml:space="preserve">    Liam</t>
  </si>
  <si>
    <t xml:space="preserve">    Jenny</t>
  </si>
  <si>
    <t xml:space="preserve">    Iben</t>
  </si>
  <si>
    <t xml:space="preserve">    Adora</t>
  </si>
  <si>
    <t xml:space="preserve">    Kasper</t>
  </si>
  <si>
    <t>menemukan nilai yang paling sering muncul / modus</t>
  </si>
  <si>
    <t>profesi / result</t>
  </si>
  <si>
    <t>rumus: =MODE.SNGL(B171:E176)</t>
  </si>
  <si>
    <t>OR FUNCTION</t>
  </si>
  <si>
    <t>MODE FUNCTION</t>
  </si>
  <si>
    <t>LOWER FUNCTION</t>
  </si>
  <si>
    <t>Defense</t>
  </si>
  <si>
    <t xml:space="preserve">    Bulbasaur</t>
  </si>
  <si>
    <t xml:space="preserve">    Ivysaur</t>
  </si>
  <si>
    <t xml:space="preserve">    Venusaur</t>
  </si>
  <si>
    <t xml:space="preserve">    Charmander</t>
  </si>
  <si>
    <t>RIGHT</t>
  </si>
  <si>
    <t>digunakan u/ mengambil sejumlah karakter yang dipilih dan dihitung dari sisi "kanan" sel</t>
  </si>
  <si>
    <t>rumus: =RIGHT(cell) atau RIGHT(start cell : end cell)</t>
  </si>
  <si>
    <t>rumus: =LEFT(cell) atau (LEFT(start cell : end cell)</t>
  </si>
  <si>
    <t>formula: =RIGHT(A160:A162;4)</t>
  </si>
  <si>
    <t>SUMIFS</t>
  </si>
  <si>
    <t>menjumlah nilai2 dalam satu rentang sel yg memenuhi satu kriteria tertentu</t>
  </si>
  <si>
    <t>menjumlahkan nilai yang memenuhi satu atau banyak kondisi/kriteria</t>
  </si>
  <si>
    <t>XOR FUNCTION</t>
  </si>
  <si>
    <t>rumus: =XOR([lodic1] ; [logic2]; ….)</t>
  </si>
  <si>
    <t>HP</t>
  </si>
  <si>
    <t xml:space="preserve">    Charmeleon</t>
  </si>
  <si>
    <t xml:space="preserve">    Charizard</t>
  </si>
  <si>
    <t>formula: =XOR(B198="Fire";C198&lt;60)</t>
  </si>
  <si>
    <t>RAND</t>
  </si>
  <si>
    <t>Note= menggunakan rumus (=RAND()) akan menghasilkan nilai random</t>
  </si>
  <si>
    <t>Note= menggunakan rumus (=RAND()*10)) akan menghasilkan angka acak di skala 0 - 10</t>
  </si>
  <si>
    <t>Result - RAND</t>
  </si>
  <si>
    <t>Note: menggunakan rumus (=INT(RAND()*10)) akan menghasilkan angka acak di skala 0 - 10 , dengan hasil nilai bilangan bulat dari INT</t>
  </si>
  <si>
    <t>RAND With LIMIT</t>
  </si>
  <si>
    <t>RAND With LIMIT and INT</t>
  </si>
  <si>
    <t>RANDBETWEEN</t>
  </si>
  <si>
    <t xml:space="preserve">Note= menggunakan rumus (=RANDBETWEEN(bottom;top)) akan menghasilkan angka acak  atau (=RANDBETWEEN(20;30)) </t>
  </si>
  <si>
    <t>akan menghasilkan niali acak di antara 20-30 , nilai 20 dan 30 termasuk dalam daftar</t>
  </si>
  <si>
    <t>RANDARRAY</t>
  </si>
  <si>
    <t xml:space="preserve"> rumus (=RANDARRAY([rows] ; [columns] ; [min] ; [max] ; [whole_number]))</t>
  </si>
  <si>
    <t>Note= menggunakan formula: = =RANDARRAY(5;1;20;50;TRUE)</t>
  </si>
  <si>
    <t>TRIM</t>
  </si>
  <si>
    <t>digunakan untuk membersihkan data teks dg MENGHAPUS SEMUA SPASI BERLEBIH, termasuk spasi awal, akhir, dan spasi ganda diantara kata</t>
  </si>
  <si>
    <t>formula: =TRIM(cells) / =TRIM(start cell ; end cell)</t>
  </si>
  <si>
    <t xml:space="preserve">  Fighting</t>
  </si>
  <si>
    <t xml:space="preserve">      Poliwrath</t>
  </si>
  <si>
    <t xml:space="preserve">  Grass</t>
  </si>
  <si>
    <t xml:space="preserve">      Tentacool</t>
  </si>
  <si>
    <t xml:space="preserve"> Water</t>
  </si>
  <si>
    <t xml:space="preserve">    Electric</t>
  </si>
  <si>
    <t xml:space="preserve">      Cloyster</t>
  </si>
  <si>
    <t xml:space="preserve">  Water</t>
  </si>
  <si>
    <t xml:space="preserve">     Onix</t>
  </si>
  <si>
    <t>Rock</t>
  </si>
  <si>
    <t xml:space="preserve">     Dragonair</t>
  </si>
  <si>
    <t>Dragon</t>
  </si>
  <si>
    <t xml:space="preserve">      Pidgeotto</t>
  </si>
  <si>
    <t xml:space="preserve"> Normal</t>
  </si>
  <si>
    <t xml:space="preserve">    Rattata</t>
  </si>
  <si>
    <t xml:space="preserve">  Normal</t>
  </si>
  <si>
    <t xml:space="preserve">name </t>
  </si>
  <si>
    <t xml:space="preserve">type </t>
  </si>
  <si>
    <t>total stats</t>
  </si>
  <si>
    <t>formula: =RIGHT(A161:A163;4)</t>
  </si>
  <si>
    <t>Water Type OR more than 60 Defense -- result</t>
  </si>
  <si>
    <t>EITHER Fire Type OR less than 60 HP -- result</t>
  </si>
  <si>
    <t xml:space="preserve">KET: </t>
  </si>
  <si>
    <t>rumus: =OR(B190="Water";C190&gt;60)</t>
  </si>
  <si>
    <t>ketika B190 adalah water, dan C190 &gt; 60, output FALSE karena yg benar adalah "grass" dan nilainya  lebih kecil dari 60</t>
  </si>
  <si>
    <t>KET:</t>
  </si>
  <si>
    <t xml:space="preserve">B198 bukan FIRE tetapi Grass ; C198&lt;60 adalah benar krn nilai nya = 45. sehingga outputnya adalah TRUE </t>
  </si>
  <si>
    <t>fungsi logika OR (inklusif) untuk menguji beberapa kondisi. Output akan TRUE jika salah satu kondisi/ keduanya BENAR, dan FALSE jika semua kondisi SALAH</t>
  </si>
  <si>
    <t>XOR (eksklusif) output akan TRUE ketika salah satu kondisi saja yang benar, bukan keduanya (ex: A benar dan B salah, begitu juga kebalikannya)</t>
  </si>
  <si>
    <t>Digunakan untuk menghasilkan angka acak atau random number</t>
  </si>
  <si>
    <r>
      <rPr>
        <b/>
        <sz val="12"/>
        <color theme="1"/>
        <rFont val="Calibri"/>
        <family val="2"/>
        <scheme val="minor"/>
      </rPr>
      <t>rows (5) =</t>
    </r>
    <r>
      <rPr>
        <sz val="12"/>
        <color theme="1"/>
        <rFont val="Calibri"/>
        <family val="2"/>
        <scheme val="minor"/>
      </rPr>
      <t xml:space="preserve"> berapa banyak baris yang diinginkan</t>
    </r>
  </si>
  <si>
    <r>
      <rPr>
        <b/>
        <sz val="12"/>
        <color theme="1"/>
        <rFont val="Calibri"/>
        <family val="2"/>
        <scheme val="minor"/>
      </rPr>
      <t>columns (1) =</t>
    </r>
    <r>
      <rPr>
        <sz val="12"/>
        <color theme="1"/>
        <rFont val="Calibri"/>
        <family val="2"/>
        <scheme val="minor"/>
      </rPr>
      <t xml:space="preserve"> banyaknya kolom yg diinginkan </t>
    </r>
  </si>
  <si>
    <r>
      <rPr>
        <b/>
        <sz val="12"/>
        <color theme="1"/>
        <rFont val="Calibri"/>
        <family val="2"/>
        <scheme val="minor"/>
      </rPr>
      <t>min (20) =</t>
    </r>
    <r>
      <rPr>
        <sz val="12"/>
        <color theme="1"/>
        <rFont val="Calibri"/>
        <family val="2"/>
        <scheme val="minor"/>
      </rPr>
      <t xml:space="preserve"> nilai minimum angka acak yg diinginkan adalah 20 </t>
    </r>
  </si>
  <si>
    <r>
      <rPr>
        <b/>
        <sz val="12"/>
        <color theme="1"/>
        <rFont val="Calibri"/>
        <family val="2"/>
        <scheme val="minor"/>
      </rPr>
      <t xml:space="preserve">max (50) = </t>
    </r>
    <r>
      <rPr>
        <sz val="12"/>
        <color theme="1"/>
        <rFont val="Calibri"/>
        <family val="2"/>
        <scheme val="minor"/>
      </rPr>
      <t>nilai maksimum angka acak yg diinginakan adl 50</t>
    </r>
  </si>
  <si>
    <r>
      <rPr>
        <b/>
        <sz val="12"/>
        <color theme="1"/>
        <rFont val="Calibri"/>
        <family val="2"/>
        <scheme val="minor"/>
      </rPr>
      <t>TRUE =</t>
    </r>
    <r>
      <rPr>
        <sz val="12"/>
        <color theme="1"/>
        <rFont val="Calibri"/>
        <family val="2"/>
        <scheme val="minor"/>
      </rPr>
      <t xml:space="preserve"> menghasilkan nilai integer / bulat</t>
    </r>
  </si>
  <si>
    <r>
      <rPr>
        <b/>
        <sz val="12"/>
        <color theme="1"/>
        <rFont val="Calibri"/>
        <family val="2"/>
        <scheme val="minor"/>
      </rPr>
      <t>FALSE =</t>
    </r>
    <r>
      <rPr>
        <sz val="12"/>
        <color theme="1"/>
        <rFont val="Calibri"/>
        <family val="2"/>
        <scheme val="minor"/>
      </rPr>
      <t xml:space="preserve"> menghasilkan nilai desimal / koma</t>
    </r>
  </si>
  <si>
    <t>menghitung persen - pilih cells (C2/B2) - ctrl + shift + %</t>
  </si>
  <si>
    <t>daniel</t>
  </si>
  <si>
    <t>lily</t>
  </si>
  <si>
    <t>james</t>
  </si>
  <si>
    <t>maria</t>
  </si>
  <si>
    <t>arthur</t>
  </si>
  <si>
    <t>white</t>
  </si>
  <si>
    <t>miller</t>
  </si>
  <si>
    <t>de blue</t>
  </si>
  <si>
    <t>without space "danielmiller" - CONCAT(A28;B28)</t>
  </si>
  <si>
    <t>with space "nata de blue" - CONCAT(A29;" ";B29)</t>
  </si>
  <si>
    <t>output = nilai yang paling sering muncul adl 1</t>
  </si>
  <si>
    <t>CONDITIONAL FORMATTING</t>
  </si>
  <si>
    <t xml:space="preserve">Digunakan u/ meng-highlight data penting sesuai dengan kriteria yang diinginkan. </t>
  </si>
  <si>
    <t>HIGHLIGHT BASED ON VALUE</t>
  </si>
  <si>
    <t>Employee</t>
  </si>
  <si>
    <t>Departement</t>
  </si>
  <si>
    <t>Salary</t>
  </si>
  <si>
    <t>Performance Score</t>
  </si>
  <si>
    <t>Bonus</t>
  </si>
  <si>
    <t>sarah</t>
  </si>
  <si>
    <t>mark</t>
  </si>
  <si>
    <t>alice</t>
  </si>
  <si>
    <t>tom</t>
  </si>
  <si>
    <t>emma</t>
  </si>
  <si>
    <t>sales</t>
  </si>
  <si>
    <t>hr</t>
  </si>
  <si>
    <t>it</t>
  </si>
  <si>
    <t>finance</t>
  </si>
  <si>
    <t>marketing</t>
  </si>
  <si>
    <t>highlight salary yang memiliki value lebih besar dari 60,000 dengan warna hijau</t>
  </si>
  <si>
    <t>CLEARING CONDITIONAL FORMATTING RULES</t>
  </si>
  <si>
    <t>menghapus conditional formatting</t>
  </si>
  <si>
    <t xml:space="preserve">1) Blok / pilih range kolom </t>
  </si>
  <si>
    <t>2) Pilih Home -- Conditional Formatting -- Highlight Cells Rules -- Greater than (lebih besar dari), Less than (lebih kecil dari), atau pilihan lainnya-- masukkan nilai yg diinginkan</t>
  </si>
  <si>
    <t>3) Cara cepat, klik ALT + H + L -- Highlight  Highlight Cells Rules -- Greater than (lebih besar dari), Less than (lebih kecil dari), atau pilihan lainnya -- masukkan nilai yg diinginkan</t>
  </si>
  <si>
    <t xml:space="preserve">1) Pilih kolom </t>
  </si>
  <si>
    <t>2) Klik ALT + H + L -- Clear Rules -- Clear Rules from Selected Cells</t>
  </si>
  <si>
    <t>TOP/BOTTOM RULES</t>
  </si>
  <si>
    <t xml:space="preserve">Top/Bottom Rules digunakan untum menandai nilai tertinggi atau terendah dari data. Bisa digunakan untuk mencari 3/5 urutan nilai terbaik dan sebagainya. </t>
  </si>
  <si>
    <t xml:space="preserve">1) ALT +  H + L </t>
  </si>
  <si>
    <t>2) TOP/BOTTOM rules</t>
  </si>
  <si>
    <t xml:space="preserve">3) Top 10 Items / Bottom 10 Items </t>
  </si>
  <si>
    <t>4) Isi angka yg di inginkan, misal 2 teratas, atau 3 terbawah</t>
  </si>
  <si>
    <t>5) Ok -- done</t>
  </si>
  <si>
    <t>CONDITIONAL FORMATTING with FORMULA</t>
  </si>
  <si>
    <t xml:space="preserve">Digunakan rumus dalam conditional formatting yang dapat membantu dalam pembuatan format yang kita inginkan </t>
  </si>
  <si>
    <t>1) pilih range kolom yg diinginkan</t>
  </si>
  <si>
    <t xml:space="preserve">2) ALT + H + L </t>
  </si>
  <si>
    <t xml:space="preserve">3) Pilih "New Rule" </t>
  </si>
  <si>
    <t xml:space="preserve">4) Pilih "Use a formula to determine which cells to format" </t>
  </si>
  <si>
    <t>5) Masukkan format value, misal: =$B297="sales"</t>
  </si>
  <si>
    <t>6) Pilih format -- fill -- pilih warna yg diinginkan -- OK -- done</t>
  </si>
  <si>
    <t xml:space="preserve">Note: </t>
  </si>
  <si>
    <t>Note: =$B297="sales"</t>
  </si>
  <si>
    <t>1) ($) = rumus paten yg harus selalu ada</t>
  </si>
  <si>
    <t xml:space="preserve">2) (B287) = kolom yang ingin di highlight. </t>
  </si>
  <si>
    <t>Disini saya ingin menghighlight Departemen "Sales",  oleh karena itu saya memilih kolom departemen yang mengandung kata "sales"</t>
  </si>
  <si>
    <t>3) ("sales") = kata yang ingin saya highlight</t>
  </si>
  <si>
    <t>4) Sehingga, semua pekerja yang berada di depatermen sales akan otomatis ter highlight mulai dari nama - bonus, sesuai dengan range kolom yg saya pilih diawal.</t>
  </si>
  <si>
    <t xml:space="preserve">SCALES DATA TO VISUALIZE DATA </t>
  </si>
  <si>
    <t>menggunakan warna / gradient untuk merepresentasikan nilai yang high, medium, low</t>
  </si>
  <si>
    <t>3) Pilih "Color Scales" -- pilih warna yg diinginkan -- done</t>
  </si>
  <si>
    <t>Nilai paling tinggi akan berwarna hijau terang, semakin turun nilai, semakin pudar warna nya</t>
  </si>
  <si>
    <t xml:space="preserve">Menghighlight blanks data atau data yang duplikat yang ada </t>
  </si>
  <si>
    <t>KET: BLANKS DATA</t>
  </si>
  <si>
    <t>5) Lalu bagian " Format only cells with" -- Pilih "Blanks" -- Format (pilih warna) -- OK -- done</t>
  </si>
  <si>
    <t>KET: DUPLICAT / UNIQUE DATA</t>
  </si>
  <si>
    <t xml:space="preserve">4) Pilih "Format only cells thet contain" </t>
  </si>
  <si>
    <t xml:space="preserve">4) Pilih "Format only unique or duplicate values" </t>
  </si>
  <si>
    <t>5) Lalu bagian " Format all" -- Pilih "Duplicate/Unique" -- Format (pilih warna) -- OK -- done</t>
  </si>
  <si>
    <t>BLANK or DUPLICATE/UNIQUE CELLS</t>
  </si>
  <si>
    <t>BLANKS DATA</t>
  </si>
  <si>
    <t>DUPLICATE DATA</t>
  </si>
  <si>
    <t>EDITING CONDITIONAL FORMATTING</t>
  </si>
  <si>
    <t xml:space="preserve">Memodifikasi conditional formatting yang sudah ada </t>
  </si>
  <si>
    <t xml:space="preserve">1) pilih kolom </t>
  </si>
  <si>
    <t>3) Pilih "Manage Rules"</t>
  </si>
  <si>
    <t>4) Pilih rule yang ingin dimodifikasi, kemudian klik "Edit Rule"</t>
  </si>
  <si>
    <t>5) Buat perubahan yg diinginkan, -- klik Apply -- OK -- done -- rule dari conditional formatting sudah berubah</t>
  </si>
  <si>
    <t>TODAY</t>
  </si>
  <si>
    <t>Menampilkan tanggal hari ini secara otomatis sesuai dg tgl laptop</t>
  </si>
  <si>
    <t xml:space="preserve">berfungsi untuk mencari sel yang kosong, baik isinya teks atau angka </t>
  </si>
  <si>
    <t xml:space="preserve">Menampilkan tanggal dan waktu saat ini secara otomatis sesuai komputer </t>
  </si>
  <si>
    <t>NOW</t>
  </si>
  <si>
    <t>DATE &amp; TIME FORMULA</t>
  </si>
  <si>
    <t>A</t>
  </si>
  <si>
    <t>B</t>
  </si>
  <si>
    <t>Output</t>
  </si>
  <si>
    <t>output</t>
  </si>
  <si>
    <t>DATEDIF</t>
  </si>
  <si>
    <t>menghitung selisih hari</t>
  </si>
  <si>
    <t>digunakan untuk menghitung selisih antara 2 tanggal, bisa dalam hari, bulan, / tahun (=DATEDIF(START_DATE; END_DATE; UNIT))</t>
  </si>
  <si>
    <t>Start_date = tanggal awal</t>
  </si>
  <si>
    <t>end_Date = tanggal akhir</t>
  </si>
  <si>
    <t>unit = jenis selisih yg meu di tampilkan</t>
  </si>
  <si>
    <t>"Y" = selisih tahun penuh</t>
  </si>
  <si>
    <t>"M" = selisih bulan penuh</t>
  </si>
  <si>
    <t>"D" = selisih hari penuh</t>
  </si>
  <si>
    <t>"YM" selisih bulan "abaikan tahun"</t>
  </si>
  <si>
    <t>"YD" = selisih hari (abaikan tahun)</t>
  </si>
  <si>
    <t>"MD" = selisih hari (abaikan bulan &amp; tahun)</t>
  </si>
  <si>
    <t>YEAR</t>
  </si>
  <si>
    <t>digunakan mengambil tahun dari sebuah tanggal. Hasilnya berupa angka tahun dalam format 4 digit (ex: 2025)</t>
  </si>
  <si>
    <t>MONTH</t>
  </si>
  <si>
    <t>mengambil bulan dari sebuah tanggal. Hasil berupa angka bulan dari 1 -12 (1 = januari ; 2 = februari, dst)</t>
  </si>
  <si>
    <t>DAY</t>
  </si>
  <si>
    <t>mengambil hari (tgl) dari sebuah data. Hasil berupa angka dari 1 - 31 sesuai tgl bulan tsb</t>
  </si>
  <si>
    <t>NETWORKDAYS</t>
  </si>
  <si>
    <t xml:space="preserve">digunkana untuk menghitung jumlah hari kerja (weeksdays) antara 2 tanggal scr otomatis, dan mengabaikan hari sabtu minggu. </t>
  </si>
  <si>
    <t>rumus = (=NEWTORKDAYS(START_Date; end_Date; [holidays]))</t>
  </si>
  <si>
    <t>start_Date = tanggal awal</t>
  </si>
  <si>
    <t>end_date = tanggal akhir</t>
  </si>
  <si>
    <t>[holidays] = (opsional) daftar tgl hari libur yg tdk dihitung</t>
  </si>
  <si>
    <t>COUNTIF</t>
  </si>
  <si>
    <t>COUNTIFS</t>
  </si>
  <si>
    <t>menghitung jumlah sel yang lebih dari 1 kriteria. (COUNTIFS(RANGE; CRITERIA1 ; CRITERIA2; ….)</t>
  </si>
  <si>
    <t>digunakan untuk menghitung jumlah sel yg memenuhi 1 kriteria tertentu. (COUNTIF(RANGE ; CRITERIA))</t>
  </si>
  <si>
    <t>MID</t>
  </si>
  <si>
    <t>mengambil teks dari tengah sebuah string. (=MID(TEXT; START_NUM (posisi awal karakter yg diambil, dihitung dr kiri) ; NUM_CHARS (jml karakter yg mau diambil) )</t>
  </si>
  <si>
    <t>PROPER FUNCTION</t>
  </si>
  <si>
    <t>Mengubah teks menjadi format huruf kapital di awal setiap kata (ex: Hello World)</t>
  </si>
  <si>
    <t>rumus: =PROPER(text) (ex: =PROPER(A214:A216) )</t>
  </si>
  <si>
    <t>UPPER FUNCTION</t>
  </si>
  <si>
    <t>mengubah seluruh teks menjadi huruf besar (KAPITAL) (ex: HELLO WORLD)</t>
  </si>
  <si>
    <t xml:space="preserve">rumus: = UPPER(text) </t>
  </si>
  <si>
    <t>TEXTJOIN FUNCTION</t>
  </si>
  <si>
    <t xml:space="preserve">rumus yg lebih canggih dibanding CONCATENATE. </t>
  </si>
  <si>
    <t>Bisa menggabungkan text dengan pemisah (delimiter) dan bisa memilih apakah spasi kosong ikut digabung atau tidak</t>
  </si>
  <si>
    <t>rumus: =TEXTJOIN(DELIMITER; IGNORE_EMPTY; TEXT1; TEXT2; …)</t>
  </si>
  <si>
    <t>Delimiter = tanda pemisa antar teks misal, " "  (spasi) ; "," (koma) ; atau "-" (tanda hubung)</t>
  </si>
  <si>
    <t>Ignore_empty = TRUE apabila ingin mengabaikan sel kosong, FALSE kalau tetap ingin dihitung</t>
  </si>
  <si>
    <t>Text1; Text2; .. = teks / sel yg ingin digabungkan</t>
  </si>
  <si>
    <t>Note: Usia dalam tahun</t>
  </si>
  <si>
    <t>menghitung selisih tahun</t>
  </si>
  <si>
    <t>marks obtained (output)</t>
  </si>
  <si>
    <t>MATH FUNCTION</t>
  </si>
  <si>
    <t>Value</t>
  </si>
  <si>
    <t>ROUND</t>
  </si>
  <si>
    <t>menjumlahkan angka sesuai range yg di inginkan</t>
  </si>
  <si>
    <t xml:space="preserve">membulatkan angka </t>
  </si>
  <si>
    <t>rumus: =SUM()</t>
  </si>
  <si>
    <t>rumus: = ROUND(number ; num_digits)</t>
  </si>
  <si>
    <t>number = range/ angka yg ingin dibulatkan</t>
  </si>
  <si>
    <t>num_digits = pembulatan berapa angka di belakang koma (ex: 2 -- ada 2 angka belakang koma)</t>
  </si>
  <si>
    <t>ROUNDUP</t>
  </si>
  <si>
    <t>membulatkan angka ke atas (ex: 15,12 --&gt; 15,13)</t>
  </si>
  <si>
    <t>rumus: = ROUNDUP(number ; num_digits)</t>
  </si>
  <si>
    <t>ROUNDDOWN</t>
  </si>
  <si>
    <t>MOD</t>
  </si>
  <si>
    <t>mod / modulo digunakan u/ menge,balikan sisi pembagian</t>
  </si>
  <si>
    <t>rumus: =MOD(number ; divisor)</t>
  </si>
  <si>
    <t xml:space="preserve">number = sel yg akan dipakai  </t>
  </si>
  <si>
    <t>divisor = nilai pembagi  (ex: 2/3/4/ dst)</t>
  </si>
  <si>
    <t>INT</t>
  </si>
  <si>
    <t>membulatkan kebawah / pembulatan angka tanpa koma</t>
  </si>
  <si>
    <t>rumus = INT(number)</t>
  </si>
  <si>
    <t>number = nilai sel yg dipakai</t>
  </si>
  <si>
    <t>ABS</t>
  </si>
  <si>
    <t>digunakan u/ mengubah angka negatif menjadi positif</t>
  </si>
  <si>
    <t>rumus: =ABS(number)</t>
  </si>
  <si>
    <t>LET</t>
  </si>
  <si>
    <t>LET adl variabel dlm rumus. Digunakan memberi nama variabel pd suatu nilai / rumus. Menyederhanakan rumus panjang</t>
  </si>
  <si>
    <t>rumus: =LET(nama1; nilai1; [nama2 ; nilai2; ….] ; hasil_akhir)</t>
  </si>
  <si>
    <t>nama = nama variabel</t>
  </si>
  <si>
    <t xml:space="preserve">nilai = isi variabel / angka </t>
  </si>
  <si>
    <t>hasil_akhir = rumus yg menggunakan variabel</t>
  </si>
  <si>
    <t>Harga</t>
  </si>
  <si>
    <t>Diskon</t>
  </si>
  <si>
    <t>IFERROR</t>
  </si>
  <si>
    <t>Nilai</t>
  </si>
  <si>
    <t>Pembagi</t>
  </si>
  <si>
    <t>rumus: =IFERROR(value ; value_if_error)</t>
  </si>
  <si>
    <t xml:space="preserve">value = nilai yg diambil </t>
  </si>
  <si>
    <t>value_if_error = output value yang dihasilkan ketika error</t>
  </si>
  <si>
    <t>IFNA</t>
  </si>
  <si>
    <t>Nama</t>
  </si>
  <si>
    <t>Daerah</t>
  </si>
  <si>
    <t xml:space="preserve">lita </t>
  </si>
  <si>
    <t>dimas</t>
  </si>
  <si>
    <t>surabaya</t>
  </si>
  <si>
    <t xml:space="preserve">malang </t>
  </si>
  <si>
    <t>jombang</t>
  </si>
  <si>
    <t xml:space="preserve">output </t>
  </si>
  <si>
    <t>IFNA digunakan untuk menangani erro #N/A SAJA. Biasanya muncul di fungsi vlookup, xlookup, hloopkup</t>
  </si>
  <si>
    <t>rumus: = IFNA(value ; value_if_na)</t>
  </si>
  <si>
    <t xml:space="preserve">value = nilai yang diambil dari sel </t>
  </si>
  <si>
    <t>value_if_na = output value yg diinginkan ketika error #N/A</t>
  </si>
  <si>
    <t>IFERROR digunakan untuk mengganti nilai jika error</t>
  </si>
  <si>
    <t>Note: CTRL + SHIFT + % u/ mengubah ke persentage</t>
  </si>
  <si>
    <t>ERROR</t>
  </si>
  <si>
    <t>Keterangan</t>
  </si>
  <si>
    <t>Solusi</t>
  </si>
  <si>
    <t>Cek kembali formula, pastikan hanya mengguanakan angka</t>
  </si>
  <si>
    <t>Muncul ketika Excel menemukan adanya spasi, karakter</t>
  </si>
  <si>
    <t>atau teks dlm formula</t>
  </si>
  <si>
    <t>#####</t>
  </si>
  <si>
    <t>Cukup geser dan lebarkan kolom excel</t>
  </si>
  <si>
    <t>terjadi karena kolom excel kurang lebar</t>
  </si>
  <si>
    <t>pastikan pembagi pada formula bukan angka nol atau teks kosong</t>
  </si>
  <si>
    <t xml:space="preserve">terjadi ketika sebuah formula menunjuk pada sel yg </t>
  </si>
  <si>
    <t>berisi angka nol atau kosong</t>
  </si>
  <si>
    <t>cek ulang cell acuan yg digunakan dalam rumus terhapus atau tidak</t>
  </si>
  <si>
    <t>mereferensikan sebuah cell yg tidak valid. Maksudnya</t>
  </si>
  <si>
    <t>secara tidak sengaja menghaous/ mem-paste sebuah sel</t>
  </si>
  <si>
    <t>yang digunakan dalam formula</t>
  </si>
  <si>
    <t>pakai rumus IFERROR u/ mengatasi formula dari error. Contohnya</t>
  </si>
  <si>
    <t>adalah =IFERROR(A1/B1, "Data Kosong"). Jika error, akan muncul output</t>
  </si>
  <si>
    <t>"Data Kosong"</t>
  </si>
  <si>
    <t>terjadi karena kesalahan sintax pada rumus, atau kesalahan</t>
  </si>
  <si>
    <t>pengetikan operator, rentang sel salah</t>
  </si>
  <si>
    <t xml:space="preserve">cek kembali apakah masih menggunakan format mata uang, tanggal atau </t>
  </si>
  <si>
    <t xml:space="preserve">simbol spesial lainnya, lalu hapus dr formula. Biarkan dalam angka saja. </t>
  </si>
  <si>
    <t>terjadi ketika formula mengandung nilai angka yg tidak valid</t>
  </si>
  <si>
    <t>#NAME!</t>
  </si>
  <si>
    <t xml:space="preserve">pastikan penulisan rumus atau nama fungsi benar </t>
  </si>
  <si>
    <t>terjadi karena excel tidak mengenali nama fungsi, range, atau</t>
  </si>
  <si>
    <t>teks yg digunakan dalam formula</t>
  </si>
  <si>
    <t>ex: =SUME(A1:A3) --&gt; salah ; yg benar =SUM(A1:A3)</t>
  </si>
  <si>
    <t>terjadi saat menggunakan formula array dinamis (fitur excel 365)</t>
  </si>
  <si>
    <t>(misalnya =SEQUENCE(10)), tapi hasilnya tidak bisa "tumbah" ke sel - sel</t>
  </si>
  <si>
    <t>bawah karena ada sesuatu yg menghalangi</t>
  </si>
  <si>
    <t>kosongkan area yang akan dipakai oleh hasil array formula</t>
  </si>
  <si>
    <t>ex: rumus =UNIQUE(A1:A10) mencari data unik, sel bawah sudah terisi nilai.</t>
  </si>
  <si>
    <t>memastikan apakah semua variabel/parameter yg dipakai dlm fungsi</t>
  </si>
  <si>
    <t>sudah didefinisikan dengan benar</t>
  </si>
  <si>
    <t>error baru yg menunjukkan excel tdk bisa menyelesaikan perhitungan karena</t>
  </si>
  <si>
    <t>kesalahan internal/logika rumus yg tdk valid</t>
  </si>
  <si>
    <t>biasa terjadi di fungsi2 lanjutan LET(), LAMBDA(), / FILTER()</t>
  </si>
  <si>
    <t>ex: pakai =LET(x;1;y;x+z;y) padahal z blm didefinisikan, error #CALC! muncul</t>
  </si>
  <si>
    <t>shgg excel tdk bisa memberikan hasil array ke sel tersebut, error #SPILL! Muncul</t>
  </si>
  <si>
    <t>#NA!</t>
  </si>
  <si>
    <t xml:space="preserve">terjadi ketika nilai yg dicari tdk ditemukan, data sumber, biasanya karena nilai tidak ada, </t>
  </si>
  <si>
    <t>format berbeda (angka vs teks), spasi ekstra, atau data sumber bermasalah</t>
  </si>
  <si>
    <t>memeriksa keberadaan data, mencocokkan format, menghapus spasi,</t>
  </si>
  <si>
    <t xml:space="preserve"> atau menggunakan fungsi penanganan error seperti IFERROR</t>
  </si>
  <si>
    <t xml:space="preserve">membulatkan angka ke bawah </t>
  </si>
  <si>
    <t>rumus: =ROUNDOWN(number ; num_digits)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</si>
</sst>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E5F0"/>
        <bgColor indexed="64"/>
      </patternFill>
    </fill>
    <fill>
      <patternFill patternType="solid">
        <fgColor rgb="FFE66CDD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1" applyAlignment="1">
      <alignment horizontal="center"/>
    </xf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5" fillId="4" borderId="0" xfId="0" applyFont="1" applyFill="1" applyAlignment="1">
      <alignment horizontal="left"/>
    </xf>
    <xf numFmtId="0" fontId="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1" fillId="4" borderId="0" xfId="0" applyFont="1" applyFill="1" applyAlignment="1">
      <alignment horizontal="center"/>
    </xf>
    <xf numFmtId="0" fontId="5" fillId="2" borderId="0" xfId="0" applyFont="1" applyFill="1" applyAlignment="1">
      <alignment horizontal="left"/>
    </xf>
    <xf numFmtId="0" fontId="0" fillId="5" borderId="0" xfId="0" applyFill="1" applyAlignment="1">
      <alignment horizontal="center"/>
    </xf>
    <xf numFmtId="0" fontId="8" fillId="0" borderId="0" xfId="0" applyFont="1" applyAlignment="1">
      <alignment horizontal="left"/>
    </xf>
    <xf numFmtId="0" fontId="1" fillId="4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left"/>
    </xf>
    <xf numFmtId="0" fontId="9" fillId="0" borderId="0" xfId="0" applyFont="1" applyAlignment="1">
      <alignment horizontal="center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1" fillId="4" borderId="0" xfId="0" applyFont="1" applyFill="1" applyAlignment="1">
      <alignment horizontal="left"/>
    </xf>
    <xf numFmtId="0" fontId="1" fillId="7" borderId="0" xfId="0" applyFont="1" applyFill="1" applyAlignment="1">
      <alignment horizontal="center"/>
    </xf>
    <xf numFmtId="0" fontId="1" fillId="7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1" xfId="0" applyFont="1" applyFill="1" applyBorder="1" applyAlignment="1">
      <alignment horizontal="left"/>
    </xf>
    <xf numFmtId="0" fontId="5" fillId="6" borderId="0" xfId="0" applyFont="1" applyFill="1" applyAlignment="1">
      <alignment horizontal="center"/>
    </xf>
    <xf numFmtId="14" fontId="0" fillId="0" borderId="0" xfId="0" applyNumberFormat="1" applyAlignment="1">
      <alignment horizontal="center"/>
    </xf>
    <xf numFmtId="0" fontId="1" fillId="2" borderId="0" xfId="0" applyFont="1" applyFill="1"/>
    <xf numFmtId="0" fontId="1" fillId="4" borderId="2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8" borderId="0" xfId="0" applyFont="1" applyFill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14" fontId="0" fillId="0" borderId="1" xfId="0" applyNumberFormat="1" applyBorder="1" applyAlignment="1">
      <alignment horizontal="center"/>
    </xf>
    <xf numFmtId="22" fontId="0" fillId="0" borderId="1" xfId="0" applyNumberFormat="1" applyBorder="1" applyAlignment="1">
      <alignment horizontal="center"/>
    </xf>
    <xf numFmtId="0" fontId="0" fillId="6" borderId="1" xfId="0" applyFill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5" fillId="7" borderId="0" xfId="0" applyFont="1" applyFill="1" applyAlignment="1">
      <alignment horizontal="center"/>
    </xf>
    <xf numFmtId="0" fontId="5" fillId="7" borderId="0" xfId="0" applyFont="1" applyFill="1" applyAlignment="1">
      <alignment horizontal="left"/>
    </xf>
    <xf numFmtId="9" fontId="0" fillId="0" borderId="0" xfId="0" applyNumberFormat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0" fontId="1" fillId="6" borderId="1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 style="thin">
          <color auto="1"/>
        </vertical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 style="thin">
          <color auto="1"/>
        </vertical>
        <horizontal/>
      </border>
    </dxf>
    <dxf>
      <border diagonalUp="0" diagonalDown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ill>
        <patternFill>
          <bgColor rgb="FFFFFF00"/>
        </patternFill>
      </fill>
    </dxf>
    <dxf>
      <fill>
        <patternFill>
          <bgColor rgb="FFCC1E0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66CDD"/>
      <color rgb="FF00E5F0"/>
      <color rgb="FF10D6E0"/>
      <color rgb="FFCC1E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8</v>
    <v>0</v>
  </rv>
  <rv s="0">
    <v>13</v>
    <v>0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85613B-03B1-4B4C-AFC9-EE45D8FF0BDC}" name="Table1" displayName="Table1" ref="B2:D37" totalsRowShown="0" headerRowDxfId="4" tableBorderDxfId="3">
  <autoFilter ref="B2:D37" xr:uid="{A985613B-03B1-4B4C-AFC9-EE45D8FF0BDC}"/>
  <tableColumns count="3">
    <tableColumn id="1" xr3:uid="{FB2834AB-7E53-44DC-91B8-7565496B2389}" name="ERROR" dataDxfId="2"/>
    <tableColumn id="2" xr3:uid="{B096DB38-CF4F-4727-AB04-188FEFE0F274}" name="Solusi" dataDxfId="1"/>
    <tableColumn id="3" xr3:uid="{F2F73014-403D-498E-8440-F23EEDDE50C6}" name="Keterangan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shimshimjae@gmail.com" TargetMode="External"/><Relationship Id="rId2" Type="http://schemas.openxmlformats.org/officeDocument/2006/relationships/hyperlink" Target="mailto:heesenglee@gmail.com" TargetMode="External"/><Relationship Id="rId1" Type="http://schemas.openxmlformats.org/officeDocument/2006/relationships/hyperlink" Target="mailto:sunghoon@gmail.com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856E-0266-4DC8-A7D9-3E7BADC57CDD}">
  <sheetPr codeName="Sheet1"/>
  <dimension ref="A1:J452"/>
  <sheetViews>
    <sheetView tabSelected="1" topLeftCell="B187" zoomScale="53" zoomScaleNormal="70" workbookViewId="0">
      <selection activeCell="E214" sqref="E214"/>
    </sheetView>
  </sheetViews>
  <sheetFormatPr defaultRowHeight="15" x14ac:dyDescent="0.25"/>
  <cols>
    <col min="1" max="1" width="21.42578125" bestFit="1" customWidth="1"/>
    <col min="2" max="2" width="84" style="2" bestFit="1" customWidth="1"/>
    <col min="3" max="3" width="35.7109375" style="2" bestFit="1" customWidth="1"/>
    <col min="4" max="4" width="35.42578125" style="2" bestFit="1" customWidth="1"/>
    <col min="5" max="5" width="67.5703125" style="2" bestFit="1" customWidth="1"/>
    <col min="6" max="6" width="32.7109375" style="2" bestFit="1" customWidth="1"/>
    <col min="7" max="7" width="40.28515625" style="2" bestFit="1" customWidth="1"/>
    <col min="8" max="8" width="16.85546875" style="2" bestFit="1" customWidth="1"/>
    <col min="9" max="9" width="229.5703125" style="8" bestFit="1" customWidth="1"/>
    <col min="10" max="10" width="37.85546875" bestFit="1" customWidth="1"/>
    <col min="11" max="11" width="16.7109375" bestFit="1" customWidth="1"/>
  </cols>
  <sheetData>
    <row r="1" spans="1:9" ht="26.25" x14ac:dyDescent="0.4">
      <c r="A1" s="6" t="s">
        <v>134</v>
      </c>
      <c r="I1" s="6" t="s">
        <v>135</v>
      </c>
    </row>
    <row r="2" spans="1:9" ht="23.25" x14ac:dyDescent="0.35">
      <c r="B2" s="35" t="s">
        <v>0</v>
      </c>
      <c r="C2" s="35" t="s">
        <v>1</v>
      </c>
      <c r="D2" s="35" t="s">
        <v>2</v>
      </c>
      <c r="E2" s="3"/>
      <c r="F2" s="3"/>
      <c r="G2" s="3"/>
      <c r="H2" s="3"/>
      <c r="I2" s="15" t="s">
        <v>143</v>
      </c>
    </row>
    <row r="3" spans="1:9" ht="15.75" x14ac:dyDescent="0.25">
      <c r="B3" s="32" t="s">
        <v>3</v>
      </c>
      <c r="C3" s="32">
        <v>1</v>
      </c>
      <c r="D3" s="32">
        <v>16</v>
      </c>
      <c r="I3" s="11"/>
    </row>
    <row r="4" spans="1:9" ht="15.75" x14ac:dyDescent="0.25">
      <c r="B4" s="32" t="s">
        <v>4</v>
      </c>
      <c r="C4" s="32">
        <v>2</v>
      </c>
      <c r="D4" s="32">
        <v>20</v>
      </c>
      <c r="I4" s="11"/>
    </row>
    <row r="5" spans="1:9" ht="15.75" x14ac:dyDescent="0.25">
      <c r="B5" s="32" t="s">
        <v>145</v>
      </c>
      <c r="C5" s="32">
        <v>5</v>
      </c>
      <c r="D5" s="32">
        <v>80</v>
      </c>
      <c r="I5" s="11"/>
    </row>
    <row r="6" spans="1:9" ht="15.75" x14ac:dyDescent="0.25">
      <c r="B6" s="32" t="s">
        <v>5</v>
      </c>
      <c r="C6" s="32">
        <v>4</v>
      </c>
      <c r="D6" s="32">
        <v>53</v>
      </c>
      <c r="I6" s="11"/>
    </row>
    <row r="7" spans="1:9" ht="15.75" x14ac:dyDescent="0.25">
      <c r="B7" s="32" t="s">
        <v>6</v>
      </c>
      <c r="C7" s="32">
        <v>2</v>
      </c>
      <c r="D7" s="32">
        <v>16.5</v>
      </c>
      <c r="I7" s="11"/>
    </row>
    <row r="8" spans="1:9" ht="15.75" x14ac:dyDescent="0.25">
      <c r="B8" s="32" t="s">
        <v>7</v>
      </c>
      <c r="C8" s="32">
        <v>3</v>
      </c>
      <c r="D8" s="32">
        <v>23</v>
      </c>
      <c r="I8" s="11"/>
    </row>
    <row r="9" spans="1:9" ht="15.75" x14ac:dyDescent="0.25">
      <c r="B9" s="32" t="s">
        <v>8</v>
      </c>
      <c r="C9" s="32">
        <v>0.5</v>
      </c>
      <c r="D9" s="32">
        <v>12</v>
      </c>
      <c r="I9" s="11"/>
    </row>
    <row r="10" spans="1:9" ht="15.75" x14ac:dyDescent="0.25">
      <c r="B10" s="32" t="s">
        <v>9</v>
      </c>
      <c r="C10" s="32">
        <v>0.5</v>
      </c>
      <c r="D10" s="32">
        <v>13</v>
      </c>
      <c r="I10" s="11"/>
    </row>
    <row r="11" spans="1:9" ht="15.75" x14ac:dyDescent="0.25">
      <c r="B11" s="32" t="s">
        <v>10</v>
      </c>
      <c r="C11" s="32">
        <v>1</v>
      </c>
      <c r="D11" s="32">
        <v>26</v>
      </c>
      <c r="I11" s="11"/>
    </row>
    <row r="12" spans="1:9" ht="15.75" x14ac:dyDescent="0.25">
      <c r="B12" s="32" t="s">
        <v>11</v>
      </c>
      <c r="C12" s="32">
        <v>2</v>
      </c>
      <c r="D12" s="32">
        <v>32</v>
      </c>
      <c r="I12" s="11"/>
    </row>
    <row r="13" spans="1:9" ht="15.75" x14ac:dyDescent="0.25">
      <c r="B13" s="32" t="s">
        <v>12</v>
      </c>
      <c r="C13" s="32">
        <v>6</v>
      </c>
      <c r="D13" s="32">
        <v>112</v>
      </c>
      <c r="I13" s="11"/>
    </row>
    <row r="14" spans="1:9" ht="15.75" x14ac:dyDescent="0.25">
      <c r="I14" s="11"/>
    </row>
    <row r="15" spans="1:9" ht="19.5" x14ac:dyDescent="0.3">
      <c r="B15" s="5" t="s">
        <v>136</v>
      </c>
      <c r="D15" s="34" t="s">
        <v>364</v>
      </c>
      <c r="I15" s="11"/>
    </row>
    <row r="16" spans="1:9" ht="15.75" x14ac:dyDescent="0.25">
      <c r="B16" s="16" t="s">
        <v>151</v>
      </c>
      <c r="D16" s="32">
        <f>MAX(D3:D12)</f>
        <v>80</v>
      </c>
      <c r="I16" s="17" t="s">
        <v>15</v>
      </c>
    </row>
    <row r="17" spans="2:9" ht="15.75" x14ac:dyDescent="0.25">
      <c r="B17" s="16" t="s">
        <v>152</v>
      </c>
      <c r="D17" s="32">
        <f>MIN(D5:D10)</f>
        <v>12</v>
      </c>
      <c r="I17" s="17" t="s">
        <v>16</v>
      </c>
    </row>
    <row r="18" spans="2:9" ht="15.75" x14ac:dyDescent="0.25">
      <c r="B18" s="16" t="s">
        <v>153</v>
      </c>
      <c r="D18" s="32">
        <f>AVERAGE(D5:D10)</f>
        <v>32.916666666666664</v>
      </c>
      <c r="I18" s="17" t="s">
        <v>17</v>
      </c>
    </row>
    <row r="19" spans="2:9" ht="15.75" x14ac:dyDescent="0.25">
      <c r="B19" s="16" t="s">
        <v>13</v>
      </c>
      <c r="D19" s="32">
        <f>COUNT(D5:D10)</f>
        <v>6</v>
      </c>
      <c r="I19" s="17" t="s">
        <v>146</v>
      </c>
    </row>
    <row r="20" spans="2:9" ht="15.75" x14ac:dyDescent="0.25">
      <c r="B20" s="16" t="s">
        <v>393</v>
      </c>
      <c r="D20" s="32" t="str">
        <f>MID(B10,4,3)</f>
        <v>ria</v>
      </c>
      <c r="I20" s="17" t="s">
        <v>394</v>
      </c>
    </row>
    <row r="21" spans="2:9" ht="15.75" x14ac:dyDescent="0.25">
      <c r="B21" s="16" t="s">
        <v>14</v>
      </c>
      <c r="D21" s="32">
        <f>LEN(B13)</f>
        <v>8</v>
      </c>
      <c r="I21" s="17" t="s">
        <v>18</v>
      </c>
    </row>
    <row r="22" spans="2:9" ht="15.75" x14ac:dyDescent="0.25">
      <c r="B22" s="16" t="s">
        <v>19</v>
      </c>
      <c r="D22" s="32">
        <f>SUMIF(D5:D10,"&gt;20")</f>
        <v>156</v>
      </c>
      <c r="I22" s="17" t="s">
        <v>215</v>
      </c>
    </row>
    <row r="23" spans="2:9" ht="15.75" x14ac:dyDescent="0.25">
      <c r="B23" s="16" t="s">
        <v>20</v>
      </c>
      <c r="D23" s="32">
        <f>AVERAGEIF(D5:D10,"&gt;20")</f>
        <v>52</v>
      </c>
      <c r="I23" s="17" t="s">
        <v>21</v>
      </c>
    </row>
    <row r="24" spans="2:9" ht="15.75" x14ac:dyDescent="0.25">
      <c r="B24" s="16" t="s">
        <v>144</v>
      </c>
      <c r="D24" s="32">
        <f>COUNTA(B3:B13)</f>
        <v>11</v>
      </c>
      <c r="I24" s="17" t="s">
        <v>147</v>
      </c>
    </row>
    <row r="25" spans="2:9" ht="15.75" x14ac:dyDescent="0.25">
      <c r="B25" s="16" t="s">
        <v>148</v>
      </c>
      <c r="D25" s="32">
        <f>COUNTBLANK(C3:C13)</f>
        <v>0</v>
      </c>
      <c r="I25" s="17" t="s">
        <v>357</v>
      </c>
    </row>
    <row r="26" spans="2:9" ht="15.75" x14ac:dyDescent="0.25">
      <c r="B26" s="16" t="s">
        <v>214</v>
      </c>
      <c r="D26" s="32">
        <f>SUMIFS(C3:C13,B3:B13,"tomato")</f>
        <v>2</v>
      </c>
      <c r="I26" s="17" t="s">
        <v>216</v>
      </c>
    </row>
    <row r="27" spans="2:9" ht="15.75" x14ac:dyDescent="0.25">
      <c r="B27" s="16" t="s">
        <v>389</v>
      </c>
      <c r="D27" s="32">
        <f>COUNTIF(D3:D13,"&gt;20")</f>
        <v>6</v>
      </c>
      <c r="I27" s="17" t="s">
        <v>392</v>
      </c>
    </row>
    <row r="28" spans="2:9" ht="15.75" x14ac:dyDescent="0.25">
      <c r="B28" s="30" t="s">
        <v>390</v>
      </c>
      <c r="D28" s="32">
        <f>COUNTIFS(D3:D13,"&gt;=20",C3:C13,"&gt;=5")</f>
        <v>2</v>
      </c>
      <c r="I28" s="17" t="s">
        <v>391</v>
      </c>
    </row>
    <row r="29" spans="2:9" ht="15.75" x14ac:dyDescent="0.25">
      <c r="B29" s="3"/>
      <c r="I29" s="10"/>
    </row>
    <row r="30" spans="2:9" ht="15.75" x14ac:dyDescent="0.25">
      <c r="B30" s="3"/>
      <c r="I30" s="10"/>
    </row>
    <row r="31" spans="2:9" ht="15.75" x14ac:dyDescent="0.25">
      <c r="B31" s="3"/>
      <c r="I31" s="10"/>
    </row>
    <row r="32" spans="2:9" ht="19.5" x14ac:dyDescent="0.3">
      <c r="B32" s="5" t="s">
        <v>360</v>
      </c>
      <c r="D32" s="33" t="s">
        <v>363</v>
      </c>
      <c r="I32" s="10"/>
    </row>
    <row r="33" spans="2:9" ht="15.75" x14ac:dyDescent="0.25">
      <c r="B33" s="16" t="s">
        <v>355</v>
      </c>
      <c r="D33" s="37">
        <f ca="1">TODAY()</f>
        <v>46062</v>
      </c>
      <c r="I33" s="17" t="s">
        <v>356</v>
      </c>
    </row>
    <row r="34" spans="2:9" ht="15.75" x14ac:dyDescent="0.25">
      <c r="B34" s="16" t="s">
        <v>359</v>
      </c>
      <c r="D34" s="38">
        <f ca="1">NOW()</f>
        <v>46062.627327314818</v>
      </c>
      <c r="I34" s="17" t="s">
        <v>358</v>
      </c>
    </row>
    <row r="35" spans="2:9" ht="15.75" x14ac:dyDescent="0.25">
      <c r="B35" s="16" t="s">
        <v>365</v>
      </c>
      <c r="C35" s="36" t="s">
        <v>361</v>
      </c>
      <c r="D35" s="32">
        <f ca="1">DATEDIF(C36,TODAY(),"Y")</f>
        <v>3</v>
      </c>
      <c r="E35" s="39" t="s">
        <v>408</v>
      </c>
      <c r="I35" s="17" t="s">
        <v>367</v>
      </c>
    </row>
    <row r="36" spans="2:9" ht="15.75" x14ac:dyDescent="0.25">
      <c r="B36" s="3"/>
      <c r="C36" s="28">
        <v>44927</v>
      </c>
      <c r="D36" s="32">
        <f>DATEDIF(C36,C39,"Y")</f>
        <v>2</v>
      </c>
      <c r="E36" s="39" t="s">
        <v>409</v>
      </c>
      <c r="I36" s="18" t="s">
        <v>328</v>
      </c>
    </row>
    <row r="37" spans="2:9" ht="15.75" x14ac:dyDescent="0.25">
      <c r="B37" s="3"/>
      <c r="C37" s="28"/>
      <c r="D37" s="32">
        <f>DATEDIF(C36,C39,"D")</f>
        <v>804</v>
      </c>
      <c r="E37" s="39" t="s">
        <v>366</v>
      </c>
      <c r="I37" s="18" t="s">
        <v>368</v>
      </c>
    </row>
    <row r="38" spans="2:9" ht="15.75" x14ac:dyDescent="0.25">
      <c r="B38" s="3"/>
      <c r="C38" s="36" t="s">
        <v>362</v>
      </c>
      <c r="I38" s="18" t="s">
        <v>369</v>
      </c>
    </row>
    <row r="39" spans="2:9" ht="15.75" x14ac:dyDescent="0.25">
      <c r="B39" s="3"/>
      <c r="C39" s="28">
        <v>45731</v>
      </c>
      <c r="I39" s="18" t="s">
        <v>370</v>
      </c>
    </row>
    <row r="40" spans="2:9" ht="15.75" x14ac:dyDescent="0.25">
      <c r="B40" s="3"/>
      <c r="I40" s="18" t="s">
        <v>371</v>
      </c>
    </row>
    <row r="41" spans="2:9" ht="15.75" x14ac:dyDescent="0.25">
      <c r="B41" s="3"/>
      <c r="I41" s="18" t="s">
        <v>372</v>
      </c>
    </row>
    <row r="42" spans="2:9" ht="15.75" x14ac:dyDescent="0.25">
      <c r="B42" s="3"/>
      <c r="I42" s="18" t="s">
        <v>373</v>
      </c>
    </row>
    <row r="43" spans="2:9" ht="15.75" x14ac:dyDescent="0.25">
      <c r="B43" s="3"/>
      <c r="I43" s="18" t="s">
        <v>374</v>
      </c>
    </row>
    <row r="44" spans="2:9" ht="15.75" x14ac:dyDescent="0.25">
      <c r="B44" s="3"/>
      <c r="I44" s="18" t="s">
        <v>375</v>
      </c>
    </row>
    <row r="45" spans="2:9" ht="15.75" x14ac:dyDescent="0.25">
      <c r="B45" s="3"/>
      <c r="I45" s="18" t="s">
        <v>376</v>
      </c>
    </row>
    <row r="46" spans="2:9" ht="15.75" x14ac:dyDescent="0.25">
      <c r="B46" s="3"/>
      <c r="I46" s="10"/>
    </row>
    <row r="47" spans="2:9" ht="15.75" x14ac:dyDescent="0.25">
      <c r="B47" s="16" t="s">
        <v>377</v>
      </c>
      <c r="D47" s="32">
        <f>YEAR(C36)</f>
        <v>2023</v>
      </c>
      <c r="I47" s="17" t="s">
        <v>378</v>
      </c>
    </row>
    <row r="48" spans="2:9" ht="15.75" x14ac:dyDescent="0.25">
      <c r="B48" s="16" t="s">
        <v>379</v>
      </c>
      <c r="D48" s="32">
        <f>MONTH(C39)</f>
        <v>3</v>
      </c>
      <c r="I48" s="17" t="s">
        <v>380</v>
      </c>
    </row>
    <row r="49" spans="2:9" ht="15.75" x14ac:dyDescent="0.25">
      <c r="B49" s="16" t="s">
        <v>381</v>
      </c>
      <c r="D49" s="32">
        <f>DAY(C39)</f>
        <v>15</v>
      </c>
      <c r="I49" s="17" t="s">
        <v>382</v>
      </c>
    </row>
    <row r="50" spans="2:9" ht="15.75" x14ac:dyDescent="0.25">
      <c r="B50" s="16" t="s">
        <v>383</v>
      </c>
      <c r="D50" s="32">
        <f>NETWORKDAYS(C36,C39)</f>
        <v>575</v>
      </c>
      <c r="I50" s="17" t="s">
        <v>384</v>
      </c>
    </row>
    <row r="51" spans="2:9" ht="15.75" x14ac:dyDescent="0.25">
      <c r="B51" s="3"/>
      <c r="I51" s="17" t="s">
        <v>385</v>
      </c>
    </row>
    <row r="52" spans="2:9" ht="15.75" x14ac:dyDescent="0.25">
      <c r="B52" s="3"/>
      <c r="I52" s="18" t="s">
        <v>328</v>
      </c>
    </row>
    <row r="53" spans="2:9" ht="15.75" x14ac:dyDescent="0.25">
      <c r="B53" s="3"/>
      <c r="I53" s="18" t="s">
        <v>386</v>
      </c>
    </row>
    <row r="54" spans="2:9" ht="15.75" x14ac:dyDescent="0.25">
      <c r="B54" s="3"/>
      <c r="I54" s="18" t="s">
        <v>387</v>
      </c>
    </row>
    <row r="55" spans="2:9" ht="15.75" x14ac:dyDescent="0.25">
      <c r="B55" s="3"/>
      <c r="I55" s="18" t="s">
        <v>388</v>
      </c>
    </row>
    <row r="56" spans="2:9" ht="15.75" x14ac:dyDescent="0.25">
      <c r="B56" s="3"/>
      <c r="I56" s="10"/>
    </row>
    <row r="57" spans="2:9" ht="15.75" x14ac:dyDescent="0.25">
      <c r="I57" s="11"/>
    </row>
    <row r="58" spans="2:9" ht="15.75" x14ac:dyDescent="0.25">
      <c r="I58" s="11"/>
    </row>
    <row r="59" spans="2:9" ht="19.5" x14ac:dyDescent="0.3">
      <c r="B59" s="5" t="s">
        <v>137</v>
      </c>
      <c r="I59" s="13" t="s">
        <v>22</v>
      </c>
    </row>
    <row r="60" spans="2:9" ht="15.75" x14ac:dyDescent="0.25">
      <c r="B60" s="35" t="s">
        <v>23</v>
      </c>
      <c r="C60" s="35" t="s">
        <v>24</v>
      </c>
      <c r="D60" s="35" t="s">
        <v>25</v>
      </c>
      <c r="E60" s="34" t="s">
        <v>199</v>
      </c>
      <c r="F60" s="3"/>
      <c r="G60" s="3"/>
      <c r="I60" s="11"/>
    </row>
    <row r="61" spans="2:9" ht="15.75" x14ac:dyDescent="0.25">
      <c r="B61" s="32" t="s">
        <v>276</v>
      </c>
      <c r="C61" s="32" t="s">
        <v>282</v>
      </c>
      <c r="D61" s="32" t="str">
        <f>_xlfn.CONCAT(B61,C61)</f>
        <v>danielmiller</v>
      </c>
      <c r="E61" s="32"/>
      <c r="I61" s="10" t="s">
        <v>284</v>
      </c>
    </row>
    <row r="62" spans="2:9" ht="15.75" x14ac:dyDescent="0.25">
      <c r="B62" s="32" t="s">
        <v>33</v>
      </c>
      <c r="C62" s="32" t="s">
        <v>283</v>
      </c>
      <c r="D62" s="32" t="str">
        <f>_xlfn.CONCAT(B62," ",C62)</f>
        <v>nata de blue</v>
      </c>
      <c r="E62" s="32"/>
      <c r="I62" s="10" t="s">
        <v>285</v>
      </c>
    </row>
    <row r="63" spans="2:9" ht="15.75" x14ac:dyDescent="0.25">
      <c r="B63" s="32" t="s">
        <v>277</v>
      </c>
      <c r="C63" s="32" t="s">
        <v>281</v>
      </c>
      <c r="D63" s="32" t="str">
        <f t="shared" ref="D63:D67" si="0">_xlfn.CONCAT(B63," ",C63)</f>
        <v>lily white</v>
      </c>
      <c r="E63" s="32"/>
      <c r="I63" s="10"/>
    </row>
    <row r="64" spans="2:9" ht="15.75" x14ac:dyDescent="0.25">
      <c r="B64" s="32" t="s">
        <v>278</v>
      </c>
      <c r="C64" s="32" t="s">
        <v>280</v>
      </c>
      <c r="D64" s="32" t="str">
        <f t="shared" si="0"/>
        <v>james arthur</v>
      </c>
      <c r="E64" s="32" t="str">
        <f>_xlfn.CONCAT(B64," ",C64," is an actor")</f>
        <v>james arthur is an actor</v>
      </c>
      <c r="I64" s="10" t="s">
        <v>30</v>
      </c>
    </row>
    <row r="65" spans="2:9" ht="15.75" x14ac:dyDescent="0.25">
      <c r="B65" s="32" t="s">
        <v>26</v>
      </c>
      <c r="C65" s="32" t="s">
        <v>27</v>
      </c>
      <c r="D65" s="32" t="str">
        <f t="shared" si="0"/>
        <v>putri ayu</v>
      </c>
      <c r="E65" s="32" t="str">
        <f>_xlfn.CONCAT(B65," ",C65," is a data analyst at nvdia and google")</f>
        <v>putri ayu is a data analyst at nvdia and google</v>
      </c>
      <c r="I65" s="10"/>
    </row>
    <row r="66" spans="2:9" ht="15.75" x14ac:dyDescent="0.25">
      <c r="B66" s="32" t="s">
        <v>28</v>
      </c>
      <c r="C66" s="32" t="s">
        <v>29</v>
      </c>
      <c r="D66" s="32" t="str">
        <f t="shared" si="0"/>
        <v>natasyah diva</v>
      </c>
      <c r="E66" s="32" t="str">
        <f>_xlfn.CONCAT(B66,",",C66)</f>
        <v>natasyah,diva</v>
      </c>
      <c r="I66" s="10" t="s">
        <v>31</v>
      </c>
    </row>
    <row r="67" spans="2:9" ht="15.75" x14ac:dyDescent="0.25">
      <c r="B67" s="32" t="s">
        <v>279</v>
      </c>
      <c r="C67" s="32" t="s">
        <v>33</v>
      </c>
      <c r="D67" s="32" t="str">
        <f t="shared" si="0"/>
        <v>maria nata</v>
      </c>
      <c r="E67" s="32" t="str">
        <f>_xlfn.CONCAT(B67,"-",C67)</f>
        <v>maria-nata</v>
      </c>
      <c r="I67" s="10" t="s">
        <v>32</v>
      </c>
    </row>
    <row r="68" spans="2:9" ht="15.75" x14ac:dyDescent="0.25">
      <c r="I68" s="11"/>
    </row>
    <row r="69" spans="2:9" ht="15.75" x14ac:dyDescent="0.25">
      <c r="I69" s="11"/>
    </row>
    <row r="70" spans="2:9" ht="15.75" x14ac:dyDescent="0.25">
      <c r="B70" s="7" t="s">
        <v>138</v>
      </c>
      <c r="I70" s="11"/>
    </row>
    <row r="71" spans="2:9" ht="15.75" x14ac:dyDescent="0.25">
      <c r="B71" s="34" t="s">
        <v>34</v>
      </c>
      <c r="C71" s="34" t="s">
        <v>35</v>
      </c>
      <c r="I71" s="11"/>
    </row>
    <row r="72" spans="2:9" ht="15.75" x14ac:dyDescent="0.25">
      <c r="B72" s="32" t="s">
        <v>36</v>
      </c>
      <c r="C72" s="32" t="str">
        <f ca="1">_xlfn.CONCAT("today's date is ",TEXT(TODAY(),"mmmm d,yyyy"))</f>
        <v>today's date is February 9,2026</v>
      </c>
      <c r="I72" s="9" t="s">
        <v>37</v>
      </c>
    </row>
    <row r="73" spans="2:9" ht="15.75" x14ac:dyDescent="0.25">
      <c r="I73" s="11"/>
    </row>
    <row r="74" spans="2:9" ht="15.75" x14ac:dyDescent="0.25">
      <c r="I74" s="11"/>
    </row>
    <row r="75" spans="2:9" ht="15.75" x14ac:dyDescent="0.25">
      <c r="B75" s="7" t="s">
        <v>139</v>
      </c>
      <c r="I75" s="11"/>
    </row>
    <row r="76" spans="2:9" ht="15.75" x14ac:dyDescent="0.25">
      <c r="B76" s="3" t="s">
        <v>38</v>
      </c>
      <c r="C76" s="3" t="s">
        <v>39</v>
      </c>
      <c r="D76" s="3" t="s">
        <v>40</v>
      </c>
      <c r="E76" s="3" t="s">
        <v>41</v>
      </c>
      <c r="F76" s="3"/>
      <c r="G76" s="3"/>
      <c r="I76" s="11"/>
    </row>
    <row r="77" spans="2:9" ht="15.75" x14ac:dyDescent="0.25">
      <c r="B77" s="2" t="s">
        <v>42</v>
      </c>
      <c r="C77" s="4" t="s">
        <v>43</v>
      </c>
      <c r="D77" s="2">
        <v>23</v>
      </c>
      <c r="E77" s="14" t="s">
        <v>52</v>
      </c>
      <c r="I77" s="11"/>
    </row>
    <row r="78" spans="2:9" ht="15.75" x14ac:dyDescent="0.25">
      <c r="B78" s="2" t="s">
        <v>44</v>
      </c>
      <c r="C78" s="4" t="s">
        <v>45</v>
      </c>
      <c r="D78" s="2">
        <v>24</v>
      </c>
      <c r="I78" s="11"/>
    </row>
    <row r="79" spans="2:9" ht="15.75" x14ac:dyDescent="0.25">
      <c r="B79" s="2" t="s">
        <v>46</v>
      </c>
      <c r="C79" s="4" t="s">
        <v>47</v>
      </c>
      <c r="D79" s="2">
        <v>21</v>
      </c>
      <c r="I79" s="11"/>
    </row>
    <row r="80" spans="2:9" ht="15.75" x14ac:dyDescent="0.25">
      <c r="I80" s="11"/>
    </row>
    <row r="81" spans="2:9" ht="15.75" x14ac:dyDescent="0.25">
      <c r="B81" s="27" t="s">
        <v>48</v>
      </c>
      <c r="I81" s="11"/>
    </row>
    <row r="82" spans="2:9" ht="15.75" x14ac:dyDescent="0.25">
      <c r="I82" s="11"/>
    </row>
    <row r="83" spans="2:9" ht="15.75" x14ac:dyDescent="0.25">
      <c r="I83" s="11"/>
    </row>
    <row r="84" spans="2:9" ht="15.75" x14ac:dyDescent="0.25">
      <c r="I84" s="11"/>
    </row>
    <row r="85" spans="2:9" ht="19.5" x14ac:dyDescent="0.3">
      <c r="B85" s="5" t="s">
        <v>140</v>
      </c>
      <c r="I85" s="11"/>
    </row>
    <row r="86" spans="2:9" ht="15.75" x14ac:dyDescent="0.25">
      <c r="B86" s="35" t="s">
        <v>49</v>
      </c>
      <c r="C86" s="35" t="s">
        <v>50</v>
      </c>
      <c r="D86" s="35" t="s">
        <v>51</v>
      </c>
      <c r="E86" s="34" t="s">
        <v>53</v>
      </c>
      <c r="F86" s="3"/>
      <c r="G86" s="3"/>
      <c r="I86" s="11"/>
    </row>
    <row r="87" spans="2:9" ht="15.75" x14ac:dyDescent="0.25">
      <c r="B87" s="32" t="s">
        <v>54</v>
      </c>
      <c r="C87" s="32">
        <v>100</v>
      </c>
      <c r="D87" s="32">
        <v>78</v>
      </c>
      <c r="E87" s="40">
        <f>D87/C87</f>
        <v>0.78</v>
      </c>
      <c r="I87" s="13" t="s">
        <v>275</v>
      </c>
    </row>
    <row r="88" spans="2:9" ht="15.75" x14ac:dyDescent="0.25">
      <c r="B88" s="32" t="s">
        <v>55</v>
      </c>
      <c r="C88" s="32">
        <v>100</v>
      </c>
      <c r="D88" s="32">
        <v>67</v>
      </c>
      <c r="E88" s="40">
        <f>D88/C88</f>
        <v>0.67</v>
      </c>
      <c r="I88" s="11"/>
    </row>
    <row r="89" spans="2:9" ht="15.75" x14ac:dyDescent="0.25">
      <c r="B89" s="32" t="s">
        <v>56</v>
      </c>
      <c r="C89" s="32">
        <v>100</v>
      </c>
      <c r="D89" s="32">
        <v>97</v>
      </c>
      <c r="E89" s="40">
        <f>D89/C89</f>
        <v>0.97</v>
      </c>
      <c r="I89" s="11"/>
    </row>
    <row r="90" spans="2:9" ht="15.75" x14ac:dyDescent="0.25">
      <c r="B90" s="32"/>
      <c r="C90" s="32">
        <v>100</v>
      </c>
      <c r="D90" s="32">
        <v>55</v>
      </c>
      <c r="E90" s="52" t="s">
        <v>464</v>
      </c>
      <c r="I90" s="11"/>
    </row>
    <row r="91" spans="2:9" ht="15.75" x14ac:dyDescent="0.25">
      <c r="I91" s="11"/>
    </row>
    <row r="92" spans="2:9" ht="19.5" x14ac:dyDescent="0.3">
      <c r="B92" s="5" t="s">
        <v>141</v>
      </c>
      <c r="I92" s="11"/>
    </row>
    <row r="93" spans="2:9" ht="15.75" x14ac:dyDescent="0.25">
      <c r="B93" s="35" t="s">
        <v>58</v>
      </c>
      <c r="C93" s="34" t="s">
        <v>59</v>
      </c>
      <c r="E93" s="45"/>
      <c r="I93" s="11"/>
    </row>
    <row r="94" spans="2:9" ht="15.75" x14ac:dyDescent="0.25">
      <c r="B94" s="32" t="s">
        <v>57</v>
      </c>
      <c r="C94" s="32">
        <f>20%*200</f>
        <v>40</v>
      </c>
      <c r="I94" s="13" t="s">
        <v>60</v>
      </c>
    </row>
    <row r="95" spans="2:9" ht="15.75" x14ac:dyDescent="0.25">
      <c r="B95" s="32" t="s">
        <v>61</v>
      </c>
      <c r="C95" s="32">
        <f>15%*35000</f>
        <v>5250</v>
      </c>
      <c r="I95" s="11"/>
    </row>
    <row r="96" spans="2:9" ht="15.75" x14ac:dyDescent="0.25">
      <c r="I96" s="11"/>
    </row>
    <row r="97" spans="2:9" ht="15.75" x14ac:dyDescent="0.25">
      <c r="I97" s="11"/>
    </row>
    <row r="98" spans="2:9" ht="15.75" x14ac:dyDescent="0.25">
      <c r="B98" s="7" t="s">
        <v>142</v>
      </c>
      <c r="I98" s="11"/>
    </row>
    <row r="99" spans="2:9" ht="15.75" x14ac:dyDescent="0.25">
      <c r="B99" s="35" t="s">
        <v>62</v>
      </c>
      <c r="C99" s="34" t="s">
        <v>63</v>
      </c>
      <c r="I99" s="11"/>
    </row>
    <row r="100" spans="2:9" ht="15.75" x14ac:dyDescent="0.25">
      <c r="B100" s="32">
        <v>37400</v>
      </c>
      <c r="C100" s="32">
        <f>12%*B100</f>
        <v>4488</v>
      </c>
      <c r="I100" s="9" t="s">
        <v>64</v>
      </c>
    </row>
    <row r="101" spans="2:9" ht="15.75" x14ac:dyDescent="0.25">
      <c r="B101" s="32">
        <v>80000</v>
      </c>
      <c r="C101" s="32">
        <f>12%*B101</f>
        <v>9600</v>
      </c>
      <c r="I101" s="11"/>
    </row>
    <row r="102" spans="2:9" ht="15.75" x14ac:dyDescent="0.25">
      <c r="I102" s="11"/>
    </row>
    <row r="103" spans="2:9" ht="15.75" x14ac:dyDescent="0.25">
      <c r="I103" s="11"/>
    </row>
    <row r="104" spans="2:9" ht="15.75" x14ac:dyDescent="0.25">
      <c r="I104" s="11"/>
    </row>
    <row r="105" spans="2:9" ht="15.75" x14ac:dyDescent="0.25">
      <c r="I105" s="11"/>
    </row>
    <row r="106" spans="2:9" ht="15.75" x14ac:dyDescent="0.25">
      <c r="B106" s="35" t="s">
        <v>38</v>
      </c>
      <c r="C106" s="35" t="s">
        <v>66</v>
      </c>
      <c r="D106" s="35" t="s">
        <v>65</v>
      </c>
      <c r="E106" s="35" t="s">
        <v>67</v>
      </c>
      <c r="F106" s="34" t="s">
        <v>410</v>
      </c>
      <c r="G106" s="35" t="s">
        <v>73</v>
      </c>
      <c r="H106" s="34" t="s">
        <v>68</v>
      </c>
      <c r="I106" s="11"/>
    </row>
    <row r="107" spans="2:9" ht="15.75" x14ac:dyDescent="0.25">
      <c r="B107" s="32" t="s">
        <v>69</v>
      </c>
      <c r="C107" s="32">
        <v>56</v>
      </c>
      <c r="D107" s="32">
        <v>78</v>
      </c>
      <c r="E107" s="32">
        <v>86</v>
      </c>
      <c r="F107" s="32">
        <f>SUM(C107+D107+E107)</f>
        <v>220</v>
      </c>
      <c r="G107" s="32">
        <v>300</v>
      </c>
      <c r="H107" s="40">
        <f>F107/G107</f>
        <v>0.73333333333333328</v>
      </c>
      <c r="I107" s="11"/>
    </row>
    <row r="108" spans="2:9" ht="15.75" x14ac:dyDescent="0.25">
      <c r="B108" s="32" t="s">
        <v>70</v>
      </c>
      <c r="C108" s="32">
        <v>67</v>
      </c>
      <c r="D108" s="32">
        <v>76</v>
      </c>
      <c r="E108" s="32">
        <v>69</v>
      </c>
      <c r="F108" s="32">
        <f>SUM(C108+D108+E108)</f>
        <v>212</v>
      </c>
      <c r="G108" s="32">
        <v>300</v>
      </c>
      <c r="H108" s="40">
        <f>F108/G108</f>
        <v>0.70666666666666667</v>
      </c>
      <c r="I108" s="11"/>
    </row>
    <row r="109" spans="2:9" ht="15.75" x14ac:dyDescent="0.25">
      <c r="B109" s="32" t="s">
        <v>71</v>
      </c>
      <c r="C109" s="32">
        <v>89</v>
      </c>
      <c r="D109" s="32">
        <v>98</v>
      </c>
      <c r="E109" s="32">
        <v>60</v>
      </c>
      <c r="F109" s="32">
        <f>SUM(C109+D109+E109)</f>
        <v>247</v>
      </c>
      <c r="G109" s="32">
        <v>300</v>
      </c>
      <c r="H109" s="40">
        <f>F109/G109</f>
        <v>0.82333333333333336</v>
      </c>
      <c r="I109" s="11"/>
    </row>
    <row r="110" spans="2:9" ht="15.75" x14ac:dyDescent="0.25">
      <c r="B110" s="32" t="s">
        <v>72</v>
      </c>
      <c r="C110" s="32">
        <v>65</v>
      </c>
      <c r="D110" s="32">
        <v>78</v>
      </c>
      <c r="E110" s="32">
        <v>67</v>
      </c>
      <c r="F110" s="32">
        <f>SUM(C110+D110+E110)</f>
        <v>210</v>
      </c>
      <c r="G110" s="32">
        <v>300</v>
      </c>
      <c r="H110" s="40">
        <f>F110/G110</f>
        <v>0.7</v>
      </c>
      <c r="I110" s="11"/>
    </row>
    <row r="111" spans="2:9" ht="15.75" x14ac:dyDescent="0.25">
      <c r="I111" s="11"/>
    </row>
    <row r="112" spans="2:9" ht="15.75" x14ac:dyDescent="0.25">
      <c r="I112" s="11"/>
    </row>
    <row r="113" spans="2:9" ht="15.75" x14ac:dyDescent="0.25">
      <c r="I113" s="11"/>
    </row>
    <row r="114" spans="2:9" ht="19.5" x14ac:dyDescent="0.3">
      <c r="B114" s="5" t="s">
        <v>74</v>
      </c>
      <c r="I114" s="11"/>
    </row>
    <row r="115" spans="2:9" ht="15.75" x14ac:dyDescent="0.25">
      <c r="B115" s="7" t="s">
        <v>82</v>
      </c>
      <c r="I115" s="9" t="s">
        <v>83</v>
      </c>
    </row>
    <row r="116" spans="2:9" ht="15.75" x14ac:dyDescent="0.25">
      <c r="B116" s="35" t="s">
        <v>38</v>
      </c>
      <c r="C116" s="35" t="s">
        <v>75</v>
      </c>
      <c r="D116" s="34" t="s">
        <v>76</v>
      </c>
      <c r="E116" s="3"/>
      <c r="F116" s="3"/>
      <c r="G116" s="3"/>
      <c r="I116" s="9" t="s">
        <v>109</v>
      </c>
    </row>
    <row r="117" spans="2:9" ht="15.75" x14ac:dyDescent="0.25">
      <c r="B117" s="32" t="s">
        <v>77</v>
      </c>
      <c r="C117" s="32">
        <v>86</v>
      </c>
      <c r="D117" s="32" t="str">
        <f>IF(C117&gt;=70,"Pass","Fail")</f>
        <v>Pass</v>
      </c>
      <c r="I117" s="11"/>
    </row>
    <row r="118" spans="2:9" ht="15.75" x14ac:dyDescent="0.25">
      <c r="B118" s="32" t="s">
        <v>78</v>
      </c>
      <c r="C118" s="32">
        <v>51</v>
      </c>
      <c r="D118" s="32" t="str">
        <f t="shared" ref="D118:D121" si="1">IF(C118&gt;=70,"Pass","Fail")</f>
        <v>Fail</v>
      </c>
      <c r="I118" s="11"/>
    </row>
    <row r="119" spans="2:9" ht="15.75" x14ac:dyDescent="0.25">
      <c r="B119" s="32" t="s">
        <v>79</v>
      </c>
      <c r="C119" s="32">
        <v>66</v>
      </c>
      <c r="D119" s="32" t="str">
        <f t="shared" si="1"/>
        <v>Fail</v>
      </c>
      <c r="I119" s="11"/>
    </row>
    <row r="120" spans="2:9" ht="15.75" x14ac:dyDescent="0.25">
      <c r="B120" s="32" t="s">
        <v>80</v>
      </c>
      <c r="C120" s="32">
        <v>96</v>
      </c>
      <c r="D120" s="32" t="str">
        <f t="shared" si="1"/>
        <v>Pass</v>
      </c>
      <c r="I120" s="11"/>
    </row>
    <row r="121" spans="2:9" ht="15.75" x14ac:dyDescent="0.25">
      <c r="B121" s="32" t="s">
        <v>81</v>
      </c>
      <c r="C121" s="32">
        <v>59</v>
      </c>
      <c r="D121" s="32" t="str">
        <f t="shared" si="1"/>
        <v>Fail</v>
      </c>
      <c r="I121" s="11"/>
    </row>
    <row r="122" spans="2:9" ht="15.75" x14ac:dyDescent="0.25">
      <c r="I122" s="11"/>
    </row>
    <row r="123" spans="2:9" ht="15.75" x14ac:dyDescent="0.25">
      <c r="B123" s="7" t="s">
        <v>89</v>
      </c>
      <c r="I123" s="9" t="s">
        <v>84</v>
      </c>
    </row>
    <row r="124" spans="2:9" ht="15.75" x14ac:dyDescent="0.25">
      <c r="B124" s="35" t="s">
        <v>85</v>
      </c>
      <c r="C124" s="35" t="s">
        <v>86</v>
      </c>
      <c r="D124" s="34" t="s">
        <v>76</v>
      </c>
      <c r="E124" s="3"/>
      <c r="F124" s="3"/>
      <c r="G124" s="3"/>
      <c r="I124" s="9" t="s">
        <v>110</v>
      </c>
    </row>
    <row r="125" spans="2:9" ht="15.75" x14ac:dyDescent="0.25">
      <c r="B125" s="32">
        <v>95</v>
      </c>
      <c r="C125" s="32">
        <v>88</v>
      </c>
      <c r="D125" s="32" t="str">
        <f>IF(AND(B125&gt;90,C125&gt;90),"A1 Grade","Fail")</f>
        <v>Fail</v>
      </c>
      <c r="I125" s="11"/>
    </row>
    <row r="126" spans="2:9" ht="15.75" x14ac:dyDescent="0.25">
      <c r="B126" s="32">
        <v>92</v>
      </c>
      <c r="C126" s="32">
        <v>92</v>
      </c>
      <c r="D126" s="32" t="str">
        <f t="shared" ref="D126:D127" si="2">IF(AND(B126&gt;90,C126&gt;90),"A1 Grade","Fail")</f>
        <v>A1 Grade</v>
      </c>
      <c r="I126" s="10" t="s">
        <v>87</v>
      </c>
    </row>
    <row r="127" spans="2:9" ht="15.75" x14ac:dyDescent="0.25">
      <c r="B127" s="32">
        <v>91</v>
      </c>
      <c r="C127" s="32">
        <v>89</v>
      </c>
      <c r="D127" s="32" t="str">
        <f t="shared" si="2"/>
        <v>Fail</v>
      </c>
      <c r="I127" s="11"/>
    </row>
    <row r="128" spans="2:9" ht="15.75" x14ac:dyDescent="0.25">
      <c r="I128" s="11"/>
    </row>
    <row r="129" spans="2:9" ht="15.75" x14ac:dyDescent="0.25">
      <c r="I129" s="11"/>
    </row>
    <row r="130" spans="2:9" ht="15.75" x14ac:dyDescent="0.25">
      <c r="B130" s="7" t="s">
        <v>88</v>
      </c>
      <c r="I130" s="9" t="s">
        <v>100</v>
      </c>
    </row>
    <row r="131" spans="2:9" ht="15.75" x14ac:dyDescent="0.25">
      <c r="B131" s="35" t="s">
        <v>85</v>
      </c>
      <c r="C131" s="35" t="s">
        <v>86</v>
      </c>
      <c r="D131" s="34" t="s">
        <v>76</v>
      </c>
      <c r="E131" s="3"/>
      <c r="F131" s="3"/>
      <c r="G131" s="3"/>
      <c r="I131" s="9" t="s">
        <v>111</v>
      </c>
    </row>
    <row r="132" spans="2:9" x14ac:dyDescent="0.25">
      <c r="B132" s="32">
        <v>95</v>
      </c>
      <c r="C132" s="32">
        <v>88</v>
      </c>
      <c r="D132" s="32" t="str">
        <f>IF(OR(B132&gt;90,C132&gt;90),"Pass","Fail")</f>
        <v>Pass</v>
      </c>
    </row>
    <row r="133" spans="2:9" x14ac:dyDescent="0.25">
      <c r="B133" s="32">
        <v>85</v>
      </c>
      <c r="C133" s="32">
        <v>92</v>
      </c>
      <c r="D133" s="32" t="str">
        <f t="shared" ref="D133:D135" si="3">IF(OR(B133&gt;90,C133&gt;90),"Pass","Fail")</f>
        <v>Pass</v>
      </c>
    </row>
    <row r="134" spans="2:9" ht="15.75" x14ac:dyDescent="0.25">
      <c r="B134" s="32">
        <v>80</v>
      </c>
      <c r="C134" s="32">
        <v>75</v>
      </c>
      <c r="D134" s="32" t="str">
        <f t="shared" si="3"/>
        <v>Fail</v>
      </c>
      <c r="I134" s="10" t="s">
        <v>91</v>
      </c>
    </row>
    <row r="135" spans="2:9" ht="15.75" x14ac:dyDescent="0.25">
      <c r="B135" s="32" t="s">
        <v>90</v>
      </c>
      <c r="C135" s="32">
        <v>43</v>
      </c>
      <c r="D135" s="32" t="str">
        <f t="shared" si="3"/>
        <v>Pass</v>
      </c>
      <c r="I135" s="10" t="s">
        <v>92</v>
      </c>
    </row>
    <row r="136" spans="2:9" ht="15.75" x14ac:dyDescent="0.25">
      <c r="I136" s="11"/>
    </row>
    <row r="137" spans="2:9" ht="15.75" x14ac:dyDescent="0.25">
      <c r="I137" s="11"/>
    </row>
    <row r="138" spans="2:9" ht="15.75" x14ac:dyDescent="0.25">
      <c r="B138" s="7" t="s">
        <v>93</v>
      </c>
      <c r="I138" s="9" t="s">
        <v>101</v>
      </c>
    </row>
    <row r="139" spans="2:9" ht="15.75" x14ac:dyDescent="0.25">
      <c r="B139" s="35" t="s">
        <v>94</v>
      </c>
      <c r="C139" s="34" t="s">
        <v>76</v>
      </c>
      <c r="I139" s="9" t="s">
        <v>112</v>
      </c>
    </row>
    <row r="140" spans="2:9" ht="15.75" x14ac:dyDescent="0.25">
      <c r="B140" s="32" t="s">
        <v>95</v>
      </c>
      <c r="C140" s="32" t="str">
        <f>IF(NOT(B140="red"),"Selected","Rejected")</f>
        <v>Rejected</v>
      </c>
      <c r="I140" s="11"/>
    </row>
    <row r="141" spans="2:9" ht="15.75" x14ac:dyDescent="0.25">
      <c r="B141" s="32" t="s">
        <v>96</v>
      </c>
      <c r="C141" s="32" t="str">
        <f t="shared" ref="C141:C143" si="4">IF(NOT(B141="red"),"Selected","Rejected")</f>
        <v>Selected</v>
      </c>
      <c r="I141" s="10" t="s">
        <v>99</v>
      </c>
    </row>
    <row r="142" spans="2:9" ht="15.75" x14ac:dyDescent="0.25">
      <c r="B142" s="32" t="s">
        <v>97</v>
      </c>
      <c r="C142" s="32" t="str">
        <f t="shared" si="4"/>
        <v>Selected</v>
      </c>
      <c r="I142" s="11"/>
    </row>
    <row r="143" spans="2:9" ht="15.75" x14ac:dyDescent="0.25">
      <c r="B143" s="32" t="s">
        <v>98</v>
      </c>
      <c r="C143" s="32" t="str">
        <f t="shared" si="4"/>
        <v>Selected</v>
      </c>
      <c r="I143" s="11"/>
    </row>
    <row r="144" spans="2:9" ht="15.75" x14ac:dyDescent="0.25">
      <c r="I144" s="11"/>
    </row>
    <row r="145" spans="2:9" ht="15.75" x14ac:dyDescent="0.25">
      <c r="I145" s="11"/>
    </row>
    <row r="146" spans="2:9" ht="15.75" x14ac:dyDescent="0.25">
      <c r="B146" s="7" t="s">
        <v>102</v>
      </c>
      <c r="I146" s="9" t="s">
        <v>103</v>
      </c>
    </row>
    <row r="147" spans="2:9" ht="15.75" x14ac:dyDescent="0.25">
      <c r="B147" s="35" t="s">
        <v>38</v>
      </c>
      <c r="C147" s="35" t="s">
        <v>75</v>
      </c>
      <c r="D147" s="34" t="s">
        <v>104</v>
      </c>
      <c r="E147" s="3"/>
      <c r="F147" s="3"/>
      <c r="G147" s="3"/>
      <c r="I147" s="9" t="s">
        <v>113</v>
      </c>
    </row>
    <row r="148" spans="2:9" ht="15.75" x14ac:dyDescent="0.25">
      <c r="B148" s="32" t="s">
        <v>105</v>
      </c>
      <c r="C148" s="32">
        <v>87</v>
      </c>
      <c r="D148" s="32" t="str">
        <f>IF(C148&gt;=60,"1st Division",IF(C148&gt;=30,"2nd Division",IF(C148&gt;=10,"3rd Division","Fail")))</f>
        <v>1st Division</v>
      </c>
      <c r="I148" s="11"/>
    </row>
    <row r="149" spans="2:9" ht="15.75" x14ac:dyDescent="0.25">
      <c r="B149" s="32" t="s">
        <v>106</v>
      </c>
      <c r="C149" s="32">
        <v>48</v>
      </c>
      <c r="D149" s="32" t="str">
        <f t="shared" ref="D149:D151" si="5">IF(C149&gt;=60,"1st Division",IF(C149&gt;=30,"2nd Division",IF(C149&gt;=10,"3rd Division","Fail")))</f>
        <v>2nd Division</v>
      </c>
      <c r="I149" s="11"/>
    </row>
    <row r="150" spans="2:9" ht="15.75" x14ac:dyDescent="0.25">
      <c r="B150" s="32" t="s">
        <v>107</v>
      </c>
      <c r="C150" s="32">
        <v>20</v>
      </c>
      <c r="D150" s="32" t="str">
        <f t="shared" si="5"/>
        <v>3rd Division</v>
      </c>
      <c r="I150" s="11"/>
    </row>
    <row r="151" spans="2:9" ht="15.75" x14ac:dyDescent="0.25">
      <c r="B151" s="32" t="s">
        <v>108</v>
      </c>
      <c r="C151" s="32">
        <v>5</v>
      </c>
      <c r="D151" s="32" t="str">
        <f t="shared" si="5"/>
        <v>Fail</v>
      </c>
      <c r="I151" s="11"/>
    </row>
    <row r="152" spans="2:9" ht="15.75" x14ac:dyDescent="0.25">
      <c r="I152" s="11"/>
    </row>
    <row r="153" spans="2:9" ht="15.75" x14ac:dyDescent="0.25">
      <c r="I153" s="11"/>
    </row>
    <row r="154" spans="2:9" ht="15.75" x14ac:dyDescent="0.25">
      <c r="B154" s="7" t="s">
        <v>114</v>
      </c>
      <c r="I154" s="9" t="s">
        <v>115</v>
      </c>
    </row>
    <row r="155" spans="2:9" ht="15.75" x14ac:dyDescent="0.25">
      <c r="B155" s="35" t="s">
        <v>116</v>
      </c>
      <c r="C155" s="34" t="s">
        <v>117</v>
      </c>
      <c r="I155" s="9" t="s">
        <v>118</v>
      </c>
    </row>
    <row r="156" spans="2:9" ht="15.75" x14ac:dyDescent="0.25">
      <c r="B156" s="32">
        <v>600</v>
      </c>
      <c r="C156" s="32" t="str">
        <f>IF(B156&gt;=500,"20% Discount",IF(B156&gt;=200,"10% Discount","No Discount"))</f>
        <v>20% Discount</v>
      </c>
      <c r="I156" s="11"/>
    </row>
    <row r="157" spans="2:9" ht="15.75" x14ac:dyDescent="0.25">
      <c r="B157" s="32">
        <v>300</v>
      </c>
      <c r="C157" s="32" t="str">
        <f t="shared" ref="C157:C158" si="6">IF(B157&gt;=500,"20% Discount",IF(B157&gt;=200,"10% Discount","No Discount"))</f>
        <v>10% Discount</v>
      </c>
      <c r="I157" s="10" t="s">
        <v>129</v>
      </c>
    </row>
    <row r="158" spans="2:9" ht="15.75" x14ac:dyDescent="0.25">
      <c r="B158" s="32">
        <v>150</v>
      </c>
      <c r="C158" s="32" t="str">
        <f t="shared" si="6"/>
        <v>No Discount</v>
      </c>
      <c r="I158" s="11"/>
    </row>
    <row r="159" spans="2:9" ht="15.75" x14ac:dyDescent="0.25">
      <c r="I159" s="11"/>
    </row>
    <row r="160" spans="2:9" ht="15.75" x14ac:dyDescent="0.25">
      <c r="I160" s="11"/>
    </row>
    <row r="161" spans="2:9" ht="15.75" x14ac:dyDescent="0.25">
      <c r="B161" s="7" t="s">
        <v>119</v>
      </c>
      <c r="I161" s="9" t="s">
        <v>120</v>
      </c>
    </row>
    <row r="162" spans="2:9" ht="15.75" x14ac:dyDescent="0.25">
      <c r="B162" s="35" t="s">
        <v>126</v>
      </c>
      <c r="C162" s="34" t="s">
        <v>35</v>
      </c>
      <c r="I162" s="9" t="s">
        <v>128</v>
      </c>
    </row>
    <row r="163" spans="2:9" ht="15.75" x14ac:dyDescent="0.25">
      <c r="B163" s="32" t="s">
        <v>121</v>
      </c>
      <c r="C163" s="32" t="str">
        <f>IF(ISNUMBER(SEARCH("approved",B163)),"YES","NO")</f>
        <v>YES</v>
      </c>
      <c r="I163" s="11"/>
    </row>
    <row r="164" spans="2:9" ht="15.75" x14ac:dyDescent="0.25">
      <c r="B164" s="32" t="s">
        <v>122</v>
      </c>
      <c r="C164" s="32" t="str">
        <f t="shared" ref="C164:C168" si="7">IF(ISNUMBER(SEARCH("approved",B164)),"YES","NO")</f>
        <v>NO</v>
      </c>
      <c r="I164" s="18" t="s">
        <v>130</v>
      </c>
    </row>
    <row r="165" spans="2:9" ht="15.75" x14ac:dyDescent="0.25">
      <c r="B165" s="32" t="s">
        <v>123</v>
      </c>
      <c r="C165" s="32" t="str">
        <f t="shared" si="7"/>
        <v>YES</v>
      </c>
      <c r="I165" s="18" t="s">
        <v>131</v>
      </c>
    </row>
    <row r="166" spans="2:9" ht="15.75" x14ac:dyDescent="0.25">
      <c r="B166" s="32" t="s">
        <v>124</v>
      </c>
      <c r="C166" s="32" t="str">
        <f t="shared" si="7"/>
        <v>YES</v>
      </c>
      <c r="I166" s="18" t="s">
        <v>132</v>
      </c>
    </row>
    <row r="167" spans="2:9" ht="15.75" x14ac:dyDescent="0.25">
      <c r="B167" s="32" t="s">
        <v>125</v>
      </c>
      <c r="C167" s="32" t="str">
        <f t="shared" si="7"/>
        <v>YES</v>
      </c>
      <c r="I167" s="18" t="s">
        <v>133</v>
      </c>
    </row>
    <row r="168" spans="2:9" ht="15.75" x14ac:dyDescent="0.25">
      <c r="B168" s="32" t="s">
        <v>127</v>
      </c>
      <c r="C168" s="32" t="str">
        <f t="shared" si="7"/>
        <v>YES</v>
      </c>
      <c r="I168" s="11"/>
    </row>
    <row r="169" spans="2:9" ht="15.75" x14ac:dyDescent="0.25">
      <c r="I169" s="11"/>
    </row>
    <row r="170" spans="2:9" ht="15.75" x14ac:dyDescent="0.25">
      <c r="I170" s="11"/>
    </row>
    <row r="171" spans="2:9" ht="15.75" x14ac:dyDescent="0.25">
      <c r="B171" s="12" t="s">
        <v>444</v>
      </c>
      <c r="I171" s="9" t="s">
        <v>463</v>
      </c>
    </row>
    <row r="172" spans="2:9" ht="15.75" x14ac:dyDescent="0.25">
      <c r="B172" s="36" t="s">
        <v>445</v>
      </c>
      <c r="C172" s="36" t="s">
        <v>446</v>
      </c>
      <c r="D172" s="33" t="s">
        <v>363</v>
      </c>
      <c r="I172" s="9" t="s">
        <v>447</v>
      </c>
    </row>
    <row r="173" spans="2:9" ht="15.75" x14ac:dyDescent="0.25">
      <c r="B173" s="2">
        <v>100</v>
      </c>
      <c r="C173" s="2">
        <v>0</v>
      </c>
      <c r="D173" s="2">
        <f>IFERROR(C173/B173,0)</f>
        <v>0</v>
      </c>
      <c r="I173" s="10" t="s">
        <v>264</v>
      </c>
    </row>
    <row r="174" spans="2:9" ht="15.75" x14ac:dyDescent="0.25">
      <c r="I174" s="10" t="s">
        <v>448</v>
      </c>
    </row>
    <row r="175" spans="2:9" ht="15.75" x14ac:dyDescent="0.25">
      <c r="I175" s="10" t="s">
        <v>449</v>
      </c>
    </row>
    <row r="176" spans="2:9" ht="15.75" x14ac:dyDescent="0.25">
      <c r="I176" s="11"/>
    </row>
    <row r="177" spans="2:9" ht="15.75" x14ac:dyDescent="0.25">
      <c r="I177" s="11"/>
    </row>
    <row r="178" spans="2:9" ht="15.75" x14ac:dyDescent="0.25">
      <c r="B178" s="12" t="s">
        <v>450</v>
      </c>
      <c r="I178" s="9" t="s">
        <v>459</v>
      </c>
    </row>
    <row r="179" spans="2:9" ht="15.75" x14ac:dyDescent="0.25">
      <c r="B179" s="36" t="s">
        <v>451</v>
      </c>
      <c r="C179" s="36" t="s">
        <v>452</v>
      </c>
      <c r="D179" s="33" t="s">
        <v>458</v>
      </c>
      <c r="I179" s="9" t="s">
        <v>460</v>
      </c>
    </row>
    <row r="180" spans="2:9" ht="15.75" x14ac:dyDescent="0.25">
      <c r="B180" s="2" t="s">
        <v>27</v>
      </c>
      <c r="C180" s="2" t="s">
        <v>455</v>
      </c>
      <c r="D180" s="2" t="str">
        <f>_xlfn.IFNA(VLOOKUP(B183,B179:C183,2,FALSE),"Data Tidak Ada")</f>
        <v>Data Tidak Ada</v>
      </c>
      <c r="I180" s="10" t="s">
        <v>261</v>
      </c>
    </row>
    <row r="181" spans="2:9" ht="15.75" x14ac:dyDescent="0.25">
      <c r="B181" s="2" t="s">
        <v>453</v>
      </c>
      <c r="C181" s="2" t="s">
        <v>456</v>
      </c>
      <c r="I181" s="10" t="s">
        <v>461</v>
      </c>
    </row>
    <row r="182" spans="2:9" ht="15.75" x14ac:dyDescent="0.25">
      <c r="B182" s="2" t="s">
        <v>454</v>
      </c>
      <c r="C182" s="2" t="s">
        <v>457</v>
      </c>
      <c r="I182" s="10" t="s">
        <v>462</v>
      </c>
    </row>
    <row r="183" spans="2:9" ht="15.75" x14ac:dyDescent="0.25">
      <c r="I183" s="11"/>
    </row>
    <row r="184" spans="2:9" ht="15.75" x14ac:dyDescent="0.25">
      <c r="I184" s="11"/>
    </row>
    <row r="185" spans="2:9" ht="15.75" x14ac:dyDescent="0.25">
      <c r="I185" s="11"/>
    </row>
    <row r="186" spans="2:9" ht="15.75" x14ac:dyDescent="0.25">
      <c r="I186" s="11"/>
    </row>
    <row r="187" spans="2:9" ht="19.5" x14ac:dyDescent="0.3">
      <c r="B187" s="5" t="s">
        <v>149</v>
      </c>
      <c r="I187" s="13" t="s">
        <v>167</v>
      </c>
    </row>
    <row r="188" spans="2:9" ht="15.75" x14ac:dyDescent="0.25">
      <c r="B188" s="35" t="s">
        <v>154</v>
      </c>
      <c r="C188" s="35" t="s">
        <v>155</v>
      </c>
      <c r="D188" s="34" t="s">
        <v>168</v>
      </c>
      <c r="E188" s="3"/>
      <c r="F188" s="3"/>
      <c r="G188" s="3"/>
      <c r="I188" s="13" t="s">
        <v>212</v>
      </c>
    </row>
    <row r="189" spans="2:9" ht="15.75" x14ac:dyDescent="0.25">
      <c r="B189" s="32" t="s">
        <v>156</v>
      </c>
      <c r="C189" s="32" t="s">
        <v>157</v>
      </c>
      <c r="D189" s="32" t="str">
        <f>LEFT(C190)</f>
        <v>W</v>
      </c>
      <c r="I189" s="10" t="s">
        <v>169</v>
      </c>
    </row>
    <row r="190" spans="2:9" ht="15.75" x14ac:dyDescent="0.25">
      <c r="B190" s="32" t="s">
        <v>158</v>
      </c>
      <c r="C190" s="32" t="s">
        <v>159</v>
      </c>
      <c r="D190" s="32" t="str">
        <f>LEFT(C191,4)</f>
        <v>Gras</v>
      </c>
      <c r="I190" s="10" t="s">
        <v>170</v>
      </c>
    </row>
    <row r="191" spans="2:9" ht="15.75" x14ac:dyDescent="0.25">
      <c r="B191" s="32" t="s">
        <v>160</v>
      </c>
      <c r="C191" s="32" t="s">
        <v>161</v>
      </c>
      <c r="D191" s="32" t="str" cm="1">
        <f t="array" ref="D191:D193">LEFT(C192:C194,3)</f>
        <v>Wat</v>
      </c>
      <c r="I191" s="10" t="s">
        <v>171</v>
      </c>
    </row>
    <row r="192" spans="2:9" ht="15.75" x14ac:dyDescent="0.25">
      <c r="B192" s="32" t="s">
        <v>162</v>
      </c>
      <c r="C192" s="32" t="s">
        <v>159</v>
      </c>
      <c r="D192" s="32" t="str">
        <v>Ele</v>
      </c>
      <c r="I192" s="11"/>
    </row>
    <row r="193" spans="2:9" ht="15.75" x14ac:dyDescent="0.25">
      <c r="B193" s="32" t="s">
        <v>163</v>
      </c>
      <c r="C193" s="32" t="s">
        <v>164</v>
      </c>
      <c r="D193" s="32" t="str">
        <v>Wat</v>
      </c>
      <c r="I193" s="11"/>
    </row>
    <row r="194" spans="2:9" ht="15.75" x14ac:dyDescent="0.25">
      <c r="B194" s="32" t="s">
        <v>165</v>
      </c>
      <c r="C194" s="32" t="s">
        <v>159</v>
      </c>
      <c r="D194" s="32"/>
      <c r="I194" s="11"/>
    </row>
    <row r="195" spans="2:9" ht="15.75" x14ac:dyDescent="0.25">
      <c r="I195" s="11"/>
    </row>
    <row r="196" spans="2:9" ht="15.75" x14ac:dyDescent="0.25">
      <c r="I196" s="11"/>
    </row>
    <row r="197" spans="2:9" ht="19.5" x14ac:dyDescent="0.3">
      <c r="B197" s="5" t="s">
        <v>209</v>
      </c>
      <c r="I197" s="13" t="s">
        <v>210</v>
      </c>
    </row>
    <row r="198" spans="2:9" ht="15.75" x14ac:dyDescent="0.25">
      <c r="B198" s="35" t="s">
        <v>154</v>
      </c>
      <c r="C198" s="35" t="s">
        <v>155</v>
      </c>
      <c r="D198" s="34" t="s">
        <v>168</v>
      </c>
      <c r="I198" s="13" t="s">
        <v>211</v>
      </c>
    </row>
    <row r="199" spans="2:9" ht="15.75" x14ac:dyDescent="0.25">
      <c r="B199" s="32" t="s">
        <v>156</v>
      </c>
      <c r="C199" s="32" t="s">
        <v>157</v>
      </c>
      <c r="D199" s="32" t="str">
        <f>RIGHT(B199)</f>
        <v>y</v>
      </c>
      <c r="I199" s="11"/>
    </row>
    <row r="200" spans="2:9" ht="15.75" x14ac:dyDescent="0.25">
      <c r="B200" s="32" t="s">
        <v>158</v>
      </c>
      <c r="C200" s="32" t="s">
        <v>159</v>
      </c>
      <c r="D200" s="32" t="str" cm="1">
        <f t="array" ref="D200:D202">RIGHT(B201:B203,4)</f>
        <v>ebel</v>
      </c>
      <c r="I200" s="10" t="s">
        <v>213</v>
      </c>
    </row>
    <row r="201" spans="2:9" ht="15.75" x14ac:dyDescent="0.25">
      <c r="B201" s="32" t="s">
        <v>160</v>
      </c>
      <c r="C201" s="32" t="s">
        <v>161</v>
      </c>
      <c r="D201" s="32" t="str">
        <v>cool</v>
      </c>
      <c r="I201" s="10" t="s">
        <v>258</v>
      </c>
    </row>
    <row r="202" spans="2:9" ht="15.75" x14ac:dyDescent="0.25">
      <c r="B202" s="32" t="s">
        <v>162</v>
      </c>
      <c r="C202" s="32" t="s">
        <v>159</v>
      </c>
      <c r="D202" s="32" t="str">
        <v>eton</v>
      </c>
      <c r="I202" s="11"/>
    </row>
    <row r="203" spans="2:9" ht="15.75" x14ac:dyDescent="0.25">
      <c r="B203" s="32" t="s">
        <v>163</v>
      </c>
      <c r="C203" s="32" t="s">
        <v>164</v>
      </c>
      <c r="D203" s="32"/>
      <c r="I203" s="11"/>
    </row>
    <row r="204" spans="2:9" ht="15.75" x14ac:dyDescent="0.25">
      <c r="B204" s="32" t="s">
        <v>165</v>
      </c>
      <c r="C204" s="32" t="s">
        <v>159</v>
      </c>
      <c r="D204" s="32"/>
      <c r="I204" s="11"/>
    </row>
    <row r="205" spans="2:9" ht="15.75" x14ac:dyDescent="0.25">
      <c r="I205" s="11"/>
    </row>
    <row r="206" spans="2:9" ht="15.75" x14ac:dyDescent="0.25">
      <c r="I206" s="11"/>
    </row>
    <row r="207" spans="2:9" ht="19.5" x14ac:dyDescent="0.3">
      <c r="B207" s="5" t="s">
        <v>203</v>
      </c>
      <c r="I207" s="13" t="s">
        <v>184</v>
      </c>
    </row>
    <row r="208" spans="2:9" ht="15.75" x14ac:dyDescent="0.25">
      <c r="B208" s="35" t="s">
        <v>154</v>
      </c>
      <c r="C208" s="35" t="s">
        <v>155</v>
      </c>
      <c r="D208" s="34" t="s">
        <v>168</v>
      </c>
      <c r="E208" s="3"/>
      <c r="F208" s="3"/>
      <c r="G208" s="3"/>
      <c r="I208" s="10" t="s">
        <v>185</v>
      </c>
    </row>
    <row r="209" spans="2:9" ht="15.75" x14ac:dyDescent="0.25">
      <c r="B209" s="32" t="s">
        <v>172</v>
      </c>
      <c r="C209" s="32" t="s">
        <v>173</v>
      </c>
      <c r="D209" s="32" t="str">
        <f>LOWER(B210)</f>
        <v xml:space="preserve">    poliwrath</v>
      </c>
      <c r="I209" s="10" t="s">
        <v>186</v>
      </c>
    </row>
    <row r="210" spans="2:9" ht="15.75" x14ac:dyDescent="0.25">
      <c r="B210" s="32" t="s">
        <v>174</v>
      </c>
      <c r="C210" s="32" t="s">
        <v>175</v>
      </c>
      <c r="D210" s="32" t="str" cm="1">
        <f t="array" ref="D210:E212">LOWER(B212:C214)</f>
        <v xml:space="preserve">    tentacool</v>
      </c>
      <c r="E210" s="32" t="str">
        <v>water</v>
      </c>
      <c r="I210" s="11"/>
    </row>
    <row r="211" spans="2:9" ht="15.75" x14ac:dyDescent="0.25">
      <c r="B211" s="32" t="s">
        <v>176</v>
      </c>
      <c r="C211" s="32" t="s">
        <v>177</v>
      </c>
      <c r="D211" s="32" t="str">
        <v xml:space="preserve">    magneton</v>
      </c>
      <c r="E211" s="32" t="str">
        <v>electric</v>
      </c>
      <c r="I211" s="11"/>
    </row>
    <row r="212" spans="2:9" ht="15.75" x14ac:dyDescent="0.25">
      <c r="B212" s="32" t="s">
        <v>178</v>
      </c>
      <c r="C212" s="32" t="s">
        <v>179</v>
      </c>
      <c r="D212" s="32" t="str">
        <v xml:space="preserve">    dewgong</v>
      </c>
      <c r="E212" s="32" t="str">
        <v>water</v>
      </c>
      <c r="I212" s="11"/>
    </row>
    <row r="213" spans="2:9" ht="15.75" x14ac:dyDescent="0.25">
      <c r="B213" s="32" t="s">
        <v>180</v>
      </c>
      <c r="C213" s="32" t="s">
        <v>181</v>
      </c>
      <c r="D213" s="32"/>
      <c r="I213" s="11"/>
    </row>
    <row r="214" spans="2:9" ht="15.75" x14ac:dyDescent="0.25">
      <c r="B214" s="32" t="s">
        <v>182</v>
      </c>
      <c r="C214" s="32" t="s">
        <v>183</v>
      </c>
      <c r="D214" s="32"/>
      <c r="I214" s="11"/>
    </row>
    <row r="215" spans="2:9" ht="15.75" x14ac:dyDescent="0.25">
      <c r="I215" s="11"/>
    </row>
    <row r="216" spans="2:9" ht="15.75" x14ac:dyDescent="0.25">
      <c r="I216" s="11"/>
    </row>
    <row r="217" spans="2:9" ht="19.5" x14ac:dyDescent="0.3">
      <c r="B217" s="5" t="s">
        <v>395</v>
      </c>
      <c r="I217" s="13" t="s">
        <v>396</v>
      </c>
    </row>
    <row r="218" spans="2:9" ht="15.75" x14ac:dyDescent="0.25">
      <c r="B218" s="35" t="s">
        <v>154</v>
      </c>
      <c r="C218" s="34" t="s">
        <v>363</v>
      </c>
      <c r="I218" s="13" t="s">
        <v>397</v>
      </c>
    </row>
    <row r="219" spans="2:9" ht="15.75" x14ac:dyDescent="0.25">
      <c r="B219" s="32" t="s">
        <v>172</v>
      </c>
      <c r="C219" s="32" t="str" cm="1">
        <f t="array" ref="C219:C221">PROPER(B219:B221)</f>
        <v xml:space="preserve">    Mankey</v>
      </c>
      <c r="I219" s="11"/>
    </row>
    <row r="220" spans="2:9" ht="15.75" x14ac:dyDescent="0.25">
      <c r="B220" s="32" t="s">
        <v>174</v>
      </c>
      <c r="C220" s="32" t="str">
        <v xml:space="preserve">    Poliwrath</v>
      </c>
      <c r="I220" s="11"/>
    </row>
    <row r="221" spans="2:9" ht="15.75" x14ac:dyDescent="0.25">
      <c r="B221" s="32" t="s">
        <v>176</v>
      </c>
      <c r="C221" s="32" t="str">
        <v xml:space="preserve">    Victreebel</v>
      </c>
      <c r="I221" s="11"/>
    </row>
    <row r="222" spans="2:9" ht="15.75" x14ac:dyDescent="0.25">
      <c r="I222" s="11"/>
    </row>
    <row r="223" spans="2:9" ht="15.75" x14ac:dyDescent="0.25">
      <c r="I223" s="11"/>
    </row>
    <row r="224" spans="2:9" ht="19.5" x14ac:dyDescent="0.3">
      <c r="B224" s="5" t="s">
        <v>398</v>
      </c>
      <c r="I224" s="13" t="s">
        <v>399</v>
      </c>
    </row>
    <row r="225" spans="2:10" ht="15.75" x14ac:dyDescent="0.25">
      <c r="B225" s="35" t="s">
        <v>38</v>
      </c>
      <c r="C225" s="34" t="s">
        <v>364</v>
      </c>
      <c r="I225" s="13" t="s">
        <v>400</v>
      </c>
    </row>
    <row r="226" spans="2:10" ht="15.75" x14ac:dyDescent="0.25">
      <c r="B226" s="32" t="s">
        <v>178</v>
      </c>
      <c r="C226" s="32" t="str" cm="1">
        <f t="array" ref="C226:C228">UPPER(B226:B228)</f>
        <v xml:space="preserve">    TENTACOOL</v>
      </c>
      <c r="I226" s="11"/>
    </row>
    <row r="227" spans="2:10" ht="15.75" x14ac:dyDescent="0.25">
      <c r="B227" s="32" t="s">
        <v>180</v>
      </c>
      <c r="C227" s="32" t="str">
        <v xml:space="preserve">    MAGNETON</v>
      </c>
      <c r="I227" s="11"/>
    </row>
    <row r="228" spans="2:10" ht="15.75" x14ac:dyDescent="0.25">
      <c r="B228" s="32" t="s">
        <v>182</v>
      </c>
      <c r="C228" s="32" t="str">
        <v xml:space="preserve">    DEWGONG</v>
      </c>
      <c r="I228" s="11"/>
    </row>
    <row r="229" spans="2:10" ht="15.75" x14ac:dyDescent="0.25">
      <c r="I229" s="11"/>
    </row>
    <row r="230" spans="2:10" ht="15.75" x14ac:dyDescent="0.25">
      <c r="I230" s="11"/>
    </row>
    <row r="231" spans="2:10" ht="19.5" x14ac:dyDescent="0.3">
      <c r="B231" s="5" t="s">
        <v>401</v>
      </c>
      <c r="I231" s="13" t="s">
        <v>402</v>
      </c>
    </row>
    <row r="232" spans="2:10" ht="15.75" x14ac:dyDescent="0.25">
      <c r="B232" s="35" t="s">
        <v>154</v>
      </c>
      <c r="C232" s="35" t="s">
        <v>155</v>
      </c>
      <c r="D232" s="34" t="s">
        <v>363</v>
      </c>
      <c r="I232" s="13" t="s">
        <v>403</v>
      </c>
    </row>
    <row r="233" spans="2:10" ht="15.75" x14ac:dyDescent="0.25">
      <c r="B233" s="32" t="s">
        <v>156</v>
      </c>
      <c r="C233" s="32" t="s">
        <v>157</v>
      </c>
      <c r="D233" s="32" t="str">
        <f>_xlfn.TEXTJOIN(" ",TRUE, B233,C233)</f>
        <v xml:space="preserve">    Mankey Fighting</v>
      </c>
      <c r="I233" s="29" t="s">
        <v>404</v>
      </c>
      <c r="J233" s="11"/>
    </row>
    <row r="234" spans="2:10" ht="15.75" x14ac:dyDescent="0.25">
      <c r="B234" s="32" t="s">
        <v>158</v>
      </c>
      <c r="C234" s="32" t="s">
        <v>159</v>
      </c>
      <c r="D234" s="32" t="str">
        <f>_xlfn.TEXTJOIN("-", TRUE, B234,C234)</f>
        <v xml:space="preserve">    Poliwrath-Water</v>
      </c>
      <c r="I234" s="26" t="s">
        <v>328</v>
      </c>
      <c r="J234" s="11"/>
    </row>
    <row r="235" spans="2:10" ht="15.75" x14ac:dyDescent="0.25">
      <c r="B235" s="32" t="s">
        <v>160</v>
      </c>
      <c r="C235" s="32" t="s">
        <v>161</v>
      </c>
      <c r="D235" s="32" t="str">
        <f>_xlfn.TEXTJOIN(",",TRUE,B235,C235)</f>
        <v xml:space="preserve">    Victreebel,Grass</v>
      </c>
      <c r="I235" s="26" t="s">
        <v>405</v>
      </c>
      <c r="J235" s="11"/>
    </row>
    <row r="236" spans="2:10" ht="15.75" x14ac:dyDescent="0.25">
      <c r="B236"/>
      <c r="I236" s="26" t="s">
        <v>406</v>
      </c>
      <c r="J236" s="11"/>
    </row>
    <row r="237" spans="2:10" ht="15.75" x14ac:dyDescent="0.25">
      <c r="B237"/>
      <c r="I237" s="26" t="s">
        <v>407</v>
      </c>
      <c r="J237" s="11"/>
    </row>
    <row r="238" spans="2:10" ht="15.75" x14ac:dyDescent="0.25">
      <c r="B238"/>
      <c r="J238" s="11"/>
    </row>
    <row r="239" spans="2:10" ht="15.75" x14ac:dyDescent="0.25">
      <c r="B239"/>
      <c r="J239" s="11"/>
    </row>
    <row r="240" spans="2:10" ht="15.75" x14ac:dyDescent="0.25">
      <c r="B240"/>
      <c r="J240" s="11"/>
    </row>
    <row r="241" spans="2:9" ht="19.5" x14ac:dyDescent="0.3">
      <c r="B241" s="5" t="s">
        <v>202</v>
      </c>
      <c r="I241" s="13" t="s">
        <v>198</v>
      </c>
    </row>
    <row r="242" spans="2:9" ht="15.75" x14ac:dyDescent="0.25">
      <c r="B242" s="35" t="s">
        <v>187</v>
      </c>
      <c r="C242" s="35" t="s">
        <v>188</v>
      </c>
      <c r="D242" s="35" t="s">
        <v>189</v>
      </c>
      <c r="E242" s="35" t="s">
        <v>190</v>
      </c>
      <c r="F242" s="35" t="s">
        <v>191</v>
      </c>
      <c r="G242" s="41" t="s">
        <v>168</v>
      </c>
      <c r="I242" s="13" t="s">
        <v>200</v>
      </c>
    </row>
    <row r="243" spans="2:9" ht="15.75" x14ac:dyDescent="0.25">
      <c r="B243" s="32" t="s">
        <v>192</v>
      </c>
      <c r="C243" s="32">
        <v>10</v>
      </c>
      <c r="D243" s="32">
        <v>4</v>
      </c>
      <c r="E243" s="32">
        <v>1</v>
      </c>
      <c r="F243" s="32">
        <v>1</v>
      </c>
      <c r="G243" s="32">
        <f>_xlfn.MODE.SNGL($C$243:$F$248)</f>
        <v>1</v>
      </c>
      <c r="I243" s="10" t="s">
        <v>286</v>
      </c>
    </row>
    <row r="244" spans="2:9" ht="15.75" x14ac:dyDescent="0.25">
      <c r="B244" s="32" t="s">
        <v>193</v>
      </c>
      <c r="C244" s="32">
        <v>12</v>
      </c>
      <c r="D244" s="32">
        <v>3</v>
      </c>
      <c r="E244" s="32">
        <v>0</v>
      </c>
      <c r="F244" s="32">
        <v>1</v>
      </c>
      <c r="I244" s="11"/>
    </row>
    <row r="245" spans="2:9" ht="15.75" x14ac:dyDescent="0.25">
      <c r="B245" s="32" t="s">
        <v>194</v>
      </c>
      <c r="C245" s="32">
        <v>15</v>
      </c>
      <c r="D245" s="32">
        <v>1</v>
      </c>
      <c r="E245" s="32">
        <v>3</v>
      </c>
      <c r="F245" s="32">
        <v>1</v>
      </c>
      <c r="I245" s="11"/>
    </row>
    <row r="246" spans="2:9" ht="15.75" x14ac:dyDescent="0.25">
      <c r="B246" s="32" t="s">
        <v>195</v>
      </c>
      <c r="C246" s="32">
        <v>4</v>
      </c>
      <c r="D246" s="32">
        <v>2</v>
      </c>
      <c r="E246" s="32">
        <v>6</v>
      </c>
      <c r="F246" s="32">
        <v>0</v>
      </c>
      <c r="I246" s="11"/>
    </row>
    <row r="247" spans="2:9" ht="15.75" x14ac:dyDescent="0.25">
      <c r="B247" s="32" t="s">
        <v>196</v>
      </c>
      <c r="C247" s="32">
        <v>10</v>
      </c>
      <c r="D247" s="32">
        <v>4</v>
      </c>
      <c r="E247" s="32">
        <v>1</v>
      </c>
      <c r="F247" s="32">
        <v>1</v>
      </c>
      <c r="I247" s="11"/>
    </row>
    <row r="248" spans="2:9" ht="15.75" x14ac:dyDescent="0.25">
      <c r="B248" s="32" t="s">
        <v>197</v>
      </c>
      <c r="C248" s="32">
        <v>9</v>
      </c>
      <c r="D248" s="32">
        <v>2</v>
      </c>
      <c r="E248" s="32">
        <v>1</v>
      </c>
      <c r="F248" s="32">
        <v>0</v>
      </c>
      <c r="I248" s="11"/>
    </row>
    <row r="249" spans="2:9" ht="15.75" x14ac:dyDescent="0.25">
      <c r="I249" s="11"/>
    </row>
    <row r="250" spans="2:9" ht="15.75" x14ac:dyDescent="0.25">
      <c r="I250" s="11"/>
    </row>
    <row r="251" spans="2:9" ht="19.5" x14ac:dyDescent="0.3">
      <c r="B251" s="5" t="s">
        <v>201</v>
      </c>
      <c r="I251" s="13" t="s">
        <v>266</v>
      </c>
    </row>
    <row r="252" spans="2:9" ht="15.75" x14ac:dyDescent="0.25">
      <c r="B252" s="35" t="s">
        <v>154</v>
      </c>
      <c r="C252" s="35" t="s">
        <v>155</v>
      </c>
      <c r="D252" s="35" t="s">
        <v>204</v>
      </c>
      <c r="E252" s="34" t="s">
        <v>259</v>
      </c>
      <c r="I252" s="13" t="s">
        <v>262</v>
      </c>
    </row>
    <row r="253" spans="2:9" ht="15.75" x14ac:dyDescent="0.25">
      <c r="B253" s="32" t="s">
        <v>205</v>
      </c>
      <c r="C253" s="32" t="s">
        <v>161</v>
      </c>
      <c r="D253" s="32">
        <v>49</v>
      </c>
      <c r="E253" s="32" t="b">
        <f>OR(C253="Water",D253&gt;60)</f>
        <v>0</v>
      </c>
      <c r="I253" s="10" t="s">
        <v>261</v>
      </c>
    </row>
    <row r="254" spans="2:9" ht="15.75" x14ac:dyDescent="0.25">
      <c r="B254" s="32" t="s">
        <v>206</v>
      </c>
      <c r="C254" s="32" t="s">
        <v>161</v>
      </c>
      <c r="D254" s="32">
        <v>63</v>
      </c>
      <c r="E254" s="32" t="b">
        <f t="shared" ref="E254:E256" si="8">OR(C254="Water",D254&gt;60)</f>
        <v>1</v>
      </c>
      <c r="I254" s="10" t="s">
        <v>263</v>
      </c>
    </row>
    <row r="255" spans="2:9" ht="15.75" x14ac:dyDescent="0.25">
      <c r="B255" s="32" t="s">
        <v>207</v>
      </c>
      <c r="C255" s="32" t="s">
        <v>161</v>
      </c>
      <c r="D255" s="32">
        <v>83</v>
      </c>
      <c r="E255" s="32" t="b">
        <f t="shared" si="8"/>
        <v>1</v>
      </c>
      <c r="I255" s="11"/>
    </row>
    <row r="256" spans="2:9" ht="15.75" x14ac:dyDescent="0.25">
      <c r="B256" s="32" t="s">
        <v>208</v>
      </c>
      <c r="C256" s="32" t="s">
        <v>166</v>
      </c>
      <c r="D256" s="32">
        <v>43</v>
      </c>
      <c r="E256" s="32" t="b">
        <f t="shared" si="8"/>
        <v>0</v>
      </c>
      <c r="I256" s="11"/>
    </row>
    <row r="257" spans="2:9" ht="15.75" x14ac:dyDescent="0.25">
      <c r="I257" s="11"/>
    </row>
    <row r="258" spans="2:9" ht="15.75" x14ac:dyDescent="0.25">
      <c r="I258" s="11"/>
    </row>
    <row r="259" spans="2:9" ht="19.5" x14ac:dyDescent="0.3">
      <c r="B259" s="5" t="s">
        <v>217</v>
      </c>
      <c r="I259" s="13" t="s">
        <v>267</v>
      </c>
    </row>
    <row r="260" spans="2:9" ht="15.75" x14ac:dyDescent="0.25">
      <c r="B260" s="35" t="s">
        <v>154</v>
      </c>
      <c r="C260" s="35" t="s">
        <v>155</v>
      </c>
      <c r="D260" s="35" t="s">
        <v>219</v>
      </c>
      <c r="E260" s="34" t="s">
        <v>260</v>
      </c>
      <c r="I260" s="13" t="s">
        <v>218</v>
      </c>
    </row>
    <row r="261" spans="2:9" ht="15.75" x14ac:dyDescent="0.25">
      <c r="B261" s="32" t="s">
        <v>205</v>
      </c>
      <c r="C261" s="32" t="s">
        <v>161</v>
      </c>
      <c r="D261" s="32">
        <v>45</v>
      </c>
      <c r="E261" s="32" t="b">
        <f>_xlfn.XOR(C261="Fire",D261&lt;60)</f>
        <v>1</v>
      </c>
      <c r="I261" s="13" t="s">
        <v>222</v>
      </c>
    </row>
    <row r="262" spans="2:9" ht="15.75" x14ac:dyDescent="0.25">
      <c r="B262" s="32" t="s">
        <v>206</v>
      </c>
      <c r="C262" s="32" t="s">
        <v>161</v>
      </c>
      <c r="D262" s="32">
        <v>60</v>
      </c>
      <c r="E262" s="32" t="b">
        <f>_xlfn.XOR(C262="Fire",D262&lt;60)</f>
        <v>0</v>
      </c>
      <c r="I262" s="10" t="s">
        <v>264</v>
      </c>
    </row>
    <row r="263" spans="2:9" ht="15.75" x14ac:dyDescent="0.25">
      <c r="B263" s="32" t="s">
        <v>207</v>
      </c>
      <c r="C263" s="32" t="s">
        <v>161</v>
      </c>
      <c r="D263" s="32">
        <v>80</v>
      </c>
      <c r="E263" s="32" t="b">
        <f>_xlfn.XOR(C263="Fire",D263&lt;60)</f>
        <v>0</v>
      </c>
      <c r="I263" s="10" t="s">
        <v>265</v>
      </c>
    </row>
    <row r="264" spans="2:9" ht="15.75" x14ac:dyDescent="0.25">
      <c r="B264" s="32" t="s">
        <v>208</v>
      </c>
      <c r="C264" s="32" t="s">
        <v>166</v>
      </c>
      <c r="D264" s="32">
        <v>39</v>
      </c>
      <c r="E264" s="32" t="b">
        <f t="shared" ref="E264:E266" si="9">_xlfn.XOR(C264="Fire",D264&lt;60)</f>
        <v>0</v>
      </c>
      <c r="I264" s="11"/>
    </row>
    <row r="265" spans="2:9" ht="15.75" x14ac:dyDescent="0.25">
      <c r="B265" s="32" t="s">
        <v>220</v>
      </c>
      <c r="C265" s="32" t="s">
        <v>166</v>
      </c>
      <c r="D265" s="32">
        <v>58</v>
      </c>
      <c r="E265" s="32" t="b">
        <f t="shared" si="9"/>
        <v>0</v>
      </c>
      <c r="I265" s="11"/>
    </row>
    <row r="266" spans="2:9" ht="15.75" x14ac:dyDescent="0.25">
      <c r="B266" s="32" t="s">
        <v>221</v>
      </c>
      <c r="C266" s="32" t="s">
        <v>166</v>
      </c>
      <c r="D266" s="32">
        <v>78</v>
      </c>
      <c r="E266" s="32" t="b">
        <f t="shared" si="9"/>
        <v>1</v>
      </c>
      <c r="I266" s="11"/>
    </row>
    <row r="267" spans="2:9" ht="15.75" x14ac:dyDescent="0.25">
      <c r="I267" s="11"/>
    </row>
    <row r="268" spans="2:9" ht="15.75" x14ac:dyDescent="0.25">
      <c r="I268" s="11"/>
    </row>
    <row r="269" spans="2:9" ht="19.5" x14ac:dyDescent="0.3">
      <c r="B269" s="5" t="s">
        <v>411</v>
      </c>
    </row>
    <row r="270" spans="2:9" ht="15.75" x14ac:dyDescent="0.25">
      <c r="C270" s="43" t="s">
        <v>223</v>
      </c>
      <c r="I270" s="44" t="s">
        <v>268</v>
      </c>
    </row>
    <row r="271" spans="2:9" ht="15.75" x14ac:dyDescent="0.25">
      <c r="D271" s="12" t="s">
        <v>226</v>
      </c>
      <c r="I271" s="9" t="s">
        <v>224</v>
      </c>
    </row>
    <row r="272" spans="2:9" ht="15.75" x14ac:dyDescent="0.25">
      <c r="D272" s="2">
        <f ca="1">RAND()</f>
        <v>0.47720998078946164</v>
      </c>
      <c r="I272" s="11"/>
    </row>
    <row r="273" spans="4:9" ht="15.75" x14ac:dyDescent="0.25">
      <c r="I273" s="11"/>
    </row>
    <row r="274" spans="4:9" ht="15.75" x14ac:dyDescent="0.25">
      <c r="D274" s="7" t="s">
        <v>228</v>
      </c>
      <c r="I274" s="9" t="s">
        <v>225</v>
      </c>
    </row>
    <row r="275" spans="4:9" x14ac:dyDescent="0.25">
      <c r="D275" s="2">
        <f ca="1">RAND()*10</f>
        <v>4.2470544915441355</v>
      </c>
    </row>
    <row r="276" spans="4:9" ht="15.75" x14ac:dyDescent="0.25">
      <c r="I276" s="11"/>
    </row>
    <row r="277" spans="4:9" ht="15.75" x14ac:dyDescent="0.25">
      <c r="D277" s="7" t="s">
        <v>229</v>
      </c>
      <c r="I277" s="9" t="s">
        <v>227</v>
      </c>
    </row>
    <row r="278" spans="4:9" x14ac:dyDescent="0.25">
      <c r="D278" s="2">
        <f ca="1">INT(RAND()*10)</f>
        <v>5</v>
      </c>
    </row>
    <row r="280" spans="4:9" ht="15.75" x14ac:dyDescent="0.25">
      <c r="D280" s="7" t="s">
        <v>230</v>
      </c>
      <c r="I280" s="9" t="s">
        <v>231</v>
      </c>
    </row>
    <row r="281" spans="4:9" ht="15.75" x14ac:dyDescent="0.25">
      <c r="D281" s="2">
        <f ca="1">RANDBETWEEN(20,30)</f>
        <v>22</v>
      </c>
      <c r="I281" s="9" t="s">
        <v>232</v>
      </c>
    </row>
    <row r="282" spans="4:9" ht="15.75" x14ac:dyDescent="0.25">
      <c r="I282" s="11"/>
    </row>
    <row r="283" spans="4:9" ht="15.75" x14ac:dyDescent="0.25">
      <c r="D283" s="7" t="s">
        <v>233</v>
      </c>
      <c r="I283" s="9" t="s">
        <v>234</v>
      </c>
    </row>
    <row r="284" spans="4:9" ht="15.75" x14ac:dyDescent="0.25">
      <c r="D284" s="2" cm="1">
        <f t="array" aca="1" ref="D284:D288" ca="1">_xlfn.RANDARRAY(5,1,20,50,TRUE)</f>
        <v>38</v>
      </c>
      <c r="I284" s="9" t="s">
        <v>235</v>
      </c>
    </row>
    <row r="285" spans="4:9" ht="15.75" x14ac:dyDescent="0.25">
      <c r="D285" s="2">
        <f ca="1"/>
        <v>39</v>
      </c>
      <c r="I285" s="11" t="s">
        <v>269</v>
      </c>
    </row>
    <row r="286" spans="4:9" ht="15.75" x14ac:dyDescent="0.25">
      <c r="D286" s="2">
        <f ca="1"/>
        <v>44</v>
      </c>
      <c r="E286" s="3"/>
      <c r="I286" s="11" t="s">
        <v>270</v>
      </c>
    </row>
    <row r="287" spans="4:9" ht="15.75" x14ac:dyDescent="0.25">
      <c r="D287" s="2">
        <f ca="1"/>
        <v>33</v>
      </c>
      <c r="I287" s="11" t="s">
        <v>271</v>
      </c>
    </row>
    <row r="288" spans="4:9" ht="15.75" x14ac:dyDescent="0.25">
      <c r="D288" s="2">
        <f ca="1"/>
        <v>50</v>
      </c>
      <c r="I288" s="11" t="s">
        <v>272</v>
      </c>
    </row>
    <row r="289" spans="3:9" ht="15.75" x14ac:dyDescent="0.25">
      <c r="I289" s="11" t="s">
        <v>273</v>
      </c>
    </row>
    <row r="290" spans="3:9" ht="15.75" x14ac:dyDescent="0.25">
      <c r="I290" s="11" t="s">
        <v>274</v>
      </c>
    </row>
    <row r="291" spans="3:9" ht="15.75" x14ac:dyDescent="0.25">
      <c r="I291" s="11"/>
    </row>
    <row r="292" spans="3:9" ht="15.75" x14ac:dyDescent="0.25">
      <c r="I292" s="11"/>
    </row>
    <row r="293" spans="3:9" ht="15.75" x14ac:dyDescent="0.25">
      <c r="C293" s="23" t="s">
        <v>150</v>
      </c>
      <c r="I293" s="44" t="s">
        <v>414</v>
      </c>
    </row>
    <row r="294" spans="3:9" ht="15.75" x14ac:dyDescent="0.25">
      <c r="D294" s="36" t="s">
        <v>412</v>
      </c>
      <c r="E294" s="33" t="s">
        <v>363</v>
      </c>
      <c r="I294" s="44" t="s">
        <v>416</v>
      </c>
    </row>
    <row r="295" spans="3:9" ht="15.75" x14ac:dyDescent="0.25">
      <c r="D295" s="2" cm="1">
        <f t="array" aca="1" ref="D295:D297" ca="1">_xlfn.RANDARRAY(3,1,10,25,FALSE)</f>
        <v>12.597704115744218</v>
      </c>
      <c r="E295" s="2">
        <f ca="1">SUM(_xlfn.ANCHORARRAY(D295))</f>
        <v>53.421950757567593</v>
      </c>
      <c r="I295" s="11"/>
    </row>
    <row r="296" spans="3:9" ht="15.75" x14ac:dyDescent="0.25">
      <c r="D296" s="2">
        <f ca="1"/>
        <v>22.590405537771954</v>
      </c>
      <c r="I296" s="11"/>
    </row>
    <row r="297" spans="3:9" ht="15.75" x14ac:dyDescent="0.25">
      <c r="D297" s="2">
        <f ca="1"/>
        <v>18.233841104051422</v>
      </c>
      <c r="I297" s="11"/>
    </row>
    <row r="298" spans="3:9" ht="15.75" x14ac:dyDescent="0.25">
      <c r="I298" s="11"/>
    </row>
    <row r="299" spans="3:9" ht="15.75" x14ac:dyDescent="0.25">
      <c r="I299" s="11"/>
    </row>
    <row r="300" spans="3:9" ht="15.75" x14ac:dyDescent="0.25">
      <c r="C300" s="23" t="s">
        <v>413</v>
      </c>
      <c r="I300" s="44" t="s">
        <v>415</v>
      </c>
    </row>
    <row r="301" spans="3:9" ht="15.75" x14ac:dyDescent="0.25">
      <c r="D301" s="33" t="s">
        <v>363</v>
      </c>
      <c r="I301" s="44" t="s">
        <v>417</v>
      </c>
    </row>
    <row r="302" spans="3:9" ht="15.75" x14ac:dyDescent="0.25">
      <c r="D302" s="2" cm="1">
        <f t="array" aca="1" ref="D302:D304" ca="1">ROUND(_xlfn.ANCHORARRAY(D295),1)</f>
        <v>12.6</v>
      </c>
      <c r="I302" s="10" t="s">
        <v>261</v>
      </c>
    </row>
    <row r="303" spans="3:9" ht="15.75" x14ac:dyDescent="0.25">
      <c r="D303" s="2">
        <f ca="1"/>
        <v>22.6</v>
      </c>
      <c r="I303" s="10" t="s">
        <v>418</v>
      </c>
    </row>
    <row r="304" spans="3:9" ht="15.75" x14ac:dyDescent="0.25">
      <c r="D304" s="2">
        <f ca="1"/>
        <v>18.2</v>
      </c>
      <c r="I304" s="10" t="s">
        <v>419</v>
      </c>
    </row>
    <row r="305" spans="3:9" ht="15.75" x14ac:dyDescent="0.25">
      <c r="I305" s="11"/>
    </row>
    <row r="306" spans="3:9" ht="15.75" x14ac:dyDescent="0.25">
      <c r="I306" s="11"/>
    </row>
    <row r="307" spans="3:9" ht="15.75" x14ac:dyDescent="0.25">
      <c r="C307" s="23" t="s">
        <v>420</v>
      </c>
      <c r="I307" s="44" t="s">
        <v>421</v>
      </c>
    </row>
    <row r="308" spans="3:9" ht="15.75" x14ac:dyDescent="0.25">
      <c r="D308" s="33" t="s">
        <v>363</v>
      </c>
      <c r="I308" s="44" t="s">
        <v>422</v>
      </c>
    </row>
    <row r="309" spans="3:9" ht="15.75" x14ac:dyDescent="0.25">
      <c r="D309" s="2">
        <f ca="1">ROUNDUP(D295,2)</f>
        <v>12.6</v>
      </c>
      <c r="I309" s="11"/>
    </row>
    <row r="310" spans="3:9" ht="15.75" x14ac:dyDescent="0.25">
      <c r="I310" s="11"/>
    </row>
    <row r="311" spans="3:9" ht="15.75" x14ac:dyDescent="0.25">
      <c r="I311" s="11"/>
    </row>
    <row r="312" spans="3:9" ht="15.75" x14ac:dyDescent="0.25">
      <c r="C312" s="23" t="s">
        <v>423</v>
      </c>
      <c r="I312" s="44" t="s">
        <v>511</v>
      </c>
    </row>
    <row r="313" spans="3:9" ht="15.75" x14ac:dyDescent="0.25">
      <c r="D313" s="33" t="s">
        <v>363</v>
      </c>
      <c r="I313" s="44" t="s">
        <v>512</v>
      </c>
    </row>
    <row r="314" spans="3:9" ht="15.75" x14ac:dyDescent="0.25">
      <c r="D314" s="2">
        <f ca="1">ROUNDDOWN(D296,2)</f>
        <v>22.59</v>
      </c>
      <c r="I314" s="11"/>
    </row>
    <row r="315" spans="3:9" ht="15.75" x14ac:dyDescent="0.25">
      <c r="I315" s="11"/>
    </row>
    <row r="316" spans="3:9" ht="15.75" x14ac:dyDescent="0.25">
      <c r="I316" s="11"/>
    </row>
    <row r="317" spans="3:9" ht="15.75" x14ac:dyDescent="0.25">
      <c r="C317" s="23" t="s">
        <v>424</v>
      </c>
      <c r="I317" s="44" t="s">
        <v>425</v>
      </c>
    </row>
    <row r="318" spans="3:9" ht="15.75" x14ac:dyDescent="0.25">
      <c r="D318" s="33" t="s">
        <v>363</v>
      </c>
      <c r="I318" s="44" t="s">
        <v>426</v>
      </c>
    </row>
    <row r="319" spans="3:9" ht="15.75" x14ac:dyDescent="0.25">
      <c r="D319" s="2">
        <f ca="1">MOD(D296,3)</f>
        <v>1.5904055377719537</v>
      </c>
      <c r="I319" s="10" t="s">
        <v>264</v>
      </c>
    </row>
    <row r="320" spans="3:9" ht="15.75" x14ac:dyDescent="0.25">
      <c r="I320" s="10" t="s">
        <v>427</v>
      </c>
    </row>
    <row r="321" spans="3:9" ht="15.75" x14ac:dyDescent="0.25">
      <c r="I321" s="10" t="s">
        <v>428</v>
      </c>
    </row>
    <row r="322" spans="3:9" ht="15.75" x14ac:dyDescent="0.25">
      <c r="I322" s="11"/>
    </row>
    <row r="324" spans="3:9" x14ac:dyDescent="0.25">
      <c r="C324" s="23" t="s">
        <v>429</v>
      </c>
      <c r="I324" s="24" t="s">
        <v>430</v>
      </c>
    </row>
    <row r="325" spans="3:9" x14ac:dyDescent="0.25">
      <c r="D325" s="33" t="s">
        <v>363</v>
      </c>
      <c r="I325" s="24" t="s">
        <v>431</v>
      </c>
    </row>
    <row r="326" spans="3:9" x14ac:dyDescent="0.25">
      <c r="D326" s="2">
        <f ca="1">INT(D314)</f>
        <v>22</v>
      </c>
      <c r="I326" s="21" t="s">
        <v>432</v>
      </c>
    </row>
    <row r="329" spans="3:9" x14ac:dyDescent="0.25">
      <c r="C329" s="23" t="s">
        <v>433</v>
      </c>
      <c r="I329" s="24" t="s">
        <v>434</v>
      </c>
    </row>
    <row r="330" spans="3:9" x14ac:dyDescent="0.25">
      <c r="D330" s="36" t="s">
        <v>412</v>
      </c>
      <c r="E330" s="33" t="s">
        <v>363</v>
      </c>
      <c r="I330" s="24" t="s">
        <v>435</v>
      </c>
    </row>
    <row r="331" spans="3:9" x14ac:dyDescent="0.25">
      <c r="D331" s="2">
        <v>-125</v>
      </c>
      <c r="E331" s="2" cm="1">
        <f t="array" ref="E331:E332">ABS(D331:D332)</f>
        <v>125</v>
      </c>
    </row>
    <row r="332" spans="3:9" x14ac:dyDescent="0.25">
      <c r="D332" s="2">
        <v>-337</v>
      </c>
      <c r="E332" s="2">
        <v>337</v>
      </c>
    </row>
    <row r="335" spans="3:9" x14ac:dyDescent="0.25">
      <c r="C335" s="23" t="s">
        <v>436</v>
      </c>
      <c r="I335" s="24" t="s">
        <v>437</v>
      </c>
    </row>
    <row r="336" spans="3:9" x14ac:dyDescent="0.25">
      <c r="D336" s="36" t="s">
        <v>442</v>
      </c>
      <c r="E336" s="33" t="s">
        <v>363</v>
      </c>
      <c r="I336" s="24" t="s">
        <v>438</v>
      </c>
    </row>
    <row r="337" spans="2:9" x14ac:dyDescent="0.25">
      <c r="D337" s="2">
        <v>100000</v>
      </c>
      <c r="E337" s="2">
        <f>_xlfn.LET(_xlpm.harga,D337,_xlpm.diskon,D340, _xlpm.harga - (_xlpm.harga*_xlpm.diskon))</f>
        <v>90000</v>
      </c>
      <c r="I337" s="21" t="s">
        <v>264</v>
      </c>
    </row>
    <row r="338" spans="2:9" x14ac:dyDescent="0.25">
      <c r="I338" s="21" t="s">
        <v>439</v>
      </c>
    </row>
    <row r="339" spans="2:9" x14ac:dyDescent="0.25">
      <c r="D339" s="36" t="s">
        <v>443</v>
      </c>
      <c r="I339" s="21" t="s">
        <v>440</v>
      </c>
    </row>
    <row r="340" spans="2:9" x14ac:dyDescent="0.25">
      <c r="D340" s="45">
        <v>0.1</v>
      </c>
      <c r="I340" s="21" t="s">
        <v>441</v>
      </c>
    </row>
    <row r="343" spans="2:9" ht="19.5" x14ac:dyDescent="0.3">
      <c r="B343" s="5" t="s">
        <v>236</v>
      </c>
      <c r="I343" s="13" t="s">
        <v>237</v>
      </c>
    </row>
    <row r="344" spans="2:9" ht="15.75" x14ac:dyDescent="0.25">
      <c r="B344" s="35" t="s">
        <v>255</v>
      </c>
      <c r="C344" s="35" t="s">
        <v>256</v>
      </c>
      <c r="D344" s="35" t="s">
        <v>257</v>
      </c>
      <c r="E344" s="34" t="s">
        <v>35</v>
      </c>
      <c r="I344" s="13" t="s">
        <v>238</v>
      </c>
    </row>
    <row r="345" spans="2:9" x14ac:dyDescent="0.25">
      <c r="B345" s="32" t="s">
        <v>156</v>
      </c>
      <c r="C345" s="32" t="s">
        <v>239</v>
      </c>
      <c r="D345" s="32">
        <v>305</v>
      </c>
      <c r="E345" s="32" t="str" cm="1">
        <f t="array" ref="E345:F355">TRIM($B$345:$C$355)</f>
        <v>Mankey</v>
      </c>
      <c r="F345" s="32" t="str">
        <v>Fighting</v>
      </c>
    </row>
    <row r="346" spans="2:9" x14ac:dyDescent="0.25">
      <c r="B346" s="32" t="s">
        <v>240</v>
      </c>
      <c r="C346" s="32" t="s">
        <v>159</v>
      </c>
      <c r="D346" s="32">
        <v>510</v>
      </c>
      <c r="E346" s="32" t="str">
        <v>Poliwrath</v>
      </c>
      <c r="F346" s="32" t="str">
        <v>Water</v>
      </c>
    </row>
    <row r="347" spans="2:9" x14ac:dyDescent="0.25">
      <c r="B347" s="32" t="s">
        <v>160</v>
      </c>
      <c r="C347" s="32" t="s">
        <v>241</v>
      </c>
      <c r="D347" s="32">
        <v>490</v>
      </c>
      <c r="E347" s="32" t="str">
        <v>Victreebel</v>
      </c>
      <c r="F347" s="32" t="str">
        <v>Grass</v>
      </c>
    </row>
    <row r="348" spans="2:9" x14ac:dyDescent="0.25">
      <c r="B348" s="32" t="s">
        <v>242</v>
      </c>
      <c r="C348" s="32" t="s">
        <v>243</v>
      </c>
      <c r="D348" s="32">
        <v>335</v>
      </c>
      <c r="E348" s="32" t="str">
        <v>Tentacool</v>
      </c>
      <c r="F348" s="32" t="str">
        <v>Water</v>
      </c>
    </row>
    <row r="349" spans="2:9" x14ac:dyDescent="0.25">
      <c r="B349" s="32" t="s">
        <v>163</v>
      </c>
      <c r="C349" s="32" t="s">
        <v>244</v>
      </c>
      <c r="D349" s="32">
        <v>465</v>
      </c>
      <c r="E349" s="32" t="str">
        <v>Magneton</v>
      </c>
      <c r="F349" s="32" t="str">
        <v>Electric</v>
      </c>
    </row>
    <row r="350" spans="2:9" x14ac:dyDescent="0.25">
      <c r="B350" s="32" t="s">
        <v>165</v>
      </c>
      <c r="C350" s="32" t="s">
        <v>159</v>
      </c>
      <c r="D350" s="32">
        <v>475</v>
      </c>
      <c r="E350" s="32" t="str">
        <v>Dewgong</v>
      </c>
      <c r="F350" s="32" t="str">
        <v>Water</v>
      </c>
    </row>
    <row r="351" spans="2:9" x14ac:dyDescent="0.25">
      <c r="B351" s="32" t="s">
        <v>245</v>
      </c>
      <c r="C351" s="32" t="s">
        <v>246</v>
      </c>
      <c r="D351" s="32">
        <v>525</v>
      </c>
      <c r="E351" s="32" t="str">
        <v>Cloyster</v>
      </c>
      <c r="F351" s="32" t="str">
        <v>Water</v>
      </c>
    </row>
    <row r="352" spans="2:9" x14ac:dyDescent="0.25">
      <c r="B352" s="32" t="s">
        <v>247</v>
      </c>
      <c r="C352" s="32" t="s">
        <v>248</v>
      </c>
      <c r="D352" s="32">
        <v>385</v>
      </c>
      <c r="E352" s="32" t="str">
        <v>Onix</v>
      </c>
      <c r="F352" s="32" t="str">
        <v>Rock</v>
      </c>
    </row>
    <row r="353" spans="2:9" x14ac:dyDescent="0.25">
      <c r="B353" s="32" t="s">
        <v>249</v>
      </c>
      <c r="C353" s="32" t="s">
        <v>250</v>
      </c>
      <c r="D353" s="32">
        <v>420</v>
      </c>
      <c r="E353" s="32" t="str">
        <v>Dragonair</v>
      </c>
      <c r="F353" s="32" t="str">
        <v>Dragon</v>
      </c>
    </row>
    <row r="354" spans="2:9" x14ac:dyDescent="0.25">
      <c r="B354" s="32" t="s">
        <v>251</v>
      </c>
      <c r="C354" s="32" t="s">
        <v>252</v>
      </c>
      <c r="D354" s="32">
        <v>349</v>
      </c>
      <c r="E354" s="32" t="str">
        <v>Pidgeotto</v>
      </c>
      <c r="F354" s="32" t="str">
        <v>Normal</v>
      </c>
    </row>
    <row r="355" spans="2:9" x14ac:dyDescent="0.25">
      <c r="B355" s="32" t="s">
        <v>253</v>
      </c>
      <c r="C355" s="32" t="s">
        <v>254</v>
      </c>
      <c r="D355" s="32">
        <v>253</v>
      </c>
      <c r="E355" s="32" t="str">
        <v>Rattata</v>
      </c>
      <c r="F355" s="32" t="str">
        <v>Normal</v>
      </c>
    </row>
    <row r="359" spans="2:9" ht="19.5" x14ac:dyDescent="0.3">
      <c r="B359" s="5" t="s">
        <v>287</v>
      </c>
      <c r="I359" s="20" t="s">
        <v>288</v>
      </c>
    </row>
    <row r="360" spans="2:9" ht="15.75" x14ac:dyDescent="0.25">
      <c r="B360" s="7" t="s">
        <v>289</v>
      </c>
      <c r="I360" s="21"/>
    </row>
    <row r="361" spans="2:9" x14ac:dyDescent="0.25">
      <c r="C361" s="35" t="s">
        <v>290</v>
      </c>
      <c r="D361" s="35" t="s">
        <v>291</v>
      </c>
      <c r="E361" s="35" t="s">
        <v>292</v>
      </c>
      <c r="F361" s="35" t="s">
        <v>293</v>
      </c>
      <c r="G361" s="35" t="s">
        <v>294</v>
      </c>
      <c r="I361" s="22" t="s">
        <v>305</v>
      </c>
    </row>
    <row r="362" spans="2:9" x14ac:dyDescent="0.25">
      <c r="C362" s="32" t="s">
        <v>78</v>
      </c>
      <c r="D362" s="32" t="s">
        <v>300</v>
      </c>
      <c r="E362" s="42">
        <v>55000</v>
      </c>
      <c r="F362" s="32">
        <v>85</v>
      </c>
      <c r="G362" s="32">
        <v>10</v>
      </c>
      <c r="I362" s="21" t="s">
        <v>264</v>
      </c>
    </row>
    <row r="363" spans="2:9" x14ac:dyDescent="0.25">
      <c r="C363" s="32" t="s">
        <v>295</v>
      </c>
      <c r="D363" s="32" t="s">
        <v>301</v>
      </c>
      <c r="E363" s="42">
        <v>48000</v>
      </c>
      <c r="F363" s="32">
        <v>92</v>
      </c>
      <c r="G363" s="32">
        <v>12</v>
      </c>
      <c r="I363" s="21" t="s">
        <v>308</v>
      </c>
    </row>
    <row r="364" spans="2:9" x14ac:dyDescent="0.25">
      <c r="C364" s="32" t="s">
        <v>296</v>
      </c>
      <c r="D364" s="32" t="s">
        <v>302</v>
      </c>
      <c r="E364" s="42">
        <v>65000</v>
      </c>
      <c r="F364" s="32">
        <v>76</v>
      </c>
      <c r="G364" s="32">
        <v>8</v>
      </c>
      <c r="I364" s="21" t="s">
        <v>309</v>
      </c>
    </row>
    <row r="365" spans="2:9" x14ac:dyDescent="0.25">
      <c r="C365" s="32" t="s">
        <v>297</v>
      </c>
      <c r="D365" s="32" t="s">
        <v>303</v>
      </c>
      <c r="E365" s="42">
        <v>72000</v>
      </c>
      <c r="F365" s="32">
        <v>88</v>
      </c>
      <c r="G365" s="32">
        <v>10</v>
      </c>
      <c r="I365" s="21" t="s">
        <v>310</v>
      </c>
    </row>
    <row r="366" spans="2:9" x14ac:dyDescent="0.25">
      <c r="C366" s="32" t="s">
        <v>298</v>
      </c>
      <c r="D366" s="32" t="s">
        <v>304</v>
      </c>
      <c r="E366" s="42">
        <v>50000</v>
      </c>
      <c r="F366" s="32">
        <v>70</v>
      </c>
      <c r="G366" s="32">
        <v>5</v>
      </c>
    </row>
    <row r="367" spans="2:9" x14ac:dyDescent="0.25">
      <c r="C367" s="32" t="s">
        <v>299</v>
      </c>
      <c r="D367" s="32" t="s">
        <v>300</v>
      </c>
      <c r="E367" s="42">
        <v>58000</v>
      </c>
      <c r="F367" s="32">
        <v>90</v>
      </c>
      <c r="G367" s="32">
        <v>15</v>
      </c>
    </row>
    <row r="371" spans="2:9" ht="15.75" x14ac:dyDescent="0.25">
      <c r="B371" s="7" t="s">
        <v>306</v>
      </c>
      <c r="I371" s="22" t="s">
        <v>307</v>
      </c>
    </row>
    <row r="372" spans="2:9" x14ac:dyDescent="0.25">
      <c r="C372" s="35" t="s">
        <v>292</v>
      </c>
      <c r="I372" s="21" t="s">
        <v>264</v>
      </c>
    </row>
    <row r="373" spans="2:9" x14ac:dyDescent="0.25">
      <c r="C373" s="42">
        <v>55000</v>
      </c>
      <c r="I373" s="21" t="s">
        <v>311</v>
      </c>
    </row>
    <row r="374" spans="2:9" x14ac:dyDescent="0.25">
      <c r="C374" s="42">
        <v>48000</v>
      </c>
      <c r="I374" s="21" t="s">
        <v>312</v>
      </c>
    </row>
    <row r="375" spans="2:9" x14ac:dyDescent="0.25">
      <c r="C375" s="42">
        <v>65000</v>
      </c>
    </row>
    <row r="376" spans="2:9" x14ac:dyDescent="0.25">
      <c r="C376" s="42">
        <v>72000</v>
      </c>
      <c r="I376"/>
    </row>
    <row r="377" spans="2:9" x14ac:dyDescent="0.25">
      <c r="C377" s="42">
        <v>50000</v>
      </c>
    </row>
    <row r="378" spans="2:9" x14ac:dyDescent="0.25">
      <c r="C378" s="42">
        <v>58000</v>
      </c>
    </row>
    <row r="381" spans="2:9" ht="15.75" x14ac:dyDescent="0.25">
      <c r="B381" s="7" t="s">
        <v>313</v>
      </c>
      <c r="D381" s="19"/>
      <c r="I381" s="22" t="s">
        <v>314</v>
      </c>
    </row>
    <row r="382" spans="2:9" x14ac:dyDescent="0.25">
      <c r="C382" s="35" t="s">
        <v>293</v>
      </c>
      <c r="D382" s="35" t="s">
        <v>293</v>
      </c>
      <c r="I382" s="21" t="s">
        <v>261</v>
      </c>
    </row>
    <row r="383" spans="2:9" x14ac:dyDescent="0.25">
      <c r="C383" s="32">
        <v>85</v>
      </c>
      <c r="D383" s="32">
        <v>85</v>
      </c>
      <c r="I383" s="21" t="s">
        <v>315</v>
      </c>
    </row>
    <row r="384" spans="2:9" x14ac:dyDescent="0.25">
      <c r="C384" s="32">
        <v>92</v>
      </c>
      <c r="D384" s="32">
        <v>92</v>
      </c>
      <c r="I384" s="21" t="s">
        <v>316</v>
      </c>
    </row>
    <row r="385" spans="2:9" x14ac:dyDescent="0.25">
      <c r="C385" s="32">
        <v>76</v>
      </c>
      <c r="D385" s="32">
        <v>76</v>
      </c>
      <c r="I385" s="21" t="s">
        <v>317</v>
      </c>
    </row>
    <row r="386" spans="2:9" x14ac:dyDescent="0.25">
      <c r="C386" s="32">
        <v>88</v>
      </c>
      <c r="D386" s="32">
        <v>88</v>
      </c>
      <c r="I386" s="21" t="s">
        <v>318</v>
      </c>
    </row>
    <row r="387" spans="2:9" x14ac:dyDescent="0.25">
      <c r="C387" s="32">
        <v>70</v>
      </c>
      <c r="D387" s="32">
        <v>70</v>
      </c>
      <c r="I387" s="21" t="s">
        <v>319</v>
      </c>
    </row>
    <row r="388" spans="2:9" x14ac:dyDescent="0.25">
      <c r="C388" s="32">
        <v>90</v>
      </c>
      <c r="D388" s="32">
        <v>90</v>
      </c>
    </row>
    <row r="392" spans="2:9" ht="15.75" x14ac:dyDescent="0.25">
      <c r="B392" s="7" t="s">
        <v>320</v>
      </c>
      <c r="I392" s="22" t="s">
        <v>321</v>
      </c>
    </row>
    <row r="393" spans="2:9" x14ac:dyDescent="0.25">
      <c r="C393" s="35" t="s">
        <v>290</v>
      </c>
      <c r="D393" s="35" t="s">
        <v>291</v>
      </c>
      <c r="E393" s="35" t="s">
        <v>292</v>
      </c>
      <c r="F393" s="35" t="s">
        <v>293</v>
      </c>
      <c r="G393" s="35" t="s">
        <v>294</v>
      </c>
      <c r="I393" s="21" t="s">
        <v>261</v>
      </c>
    </row>
    <row r="394" spans="2:9" x14ac:dyDescent="0.25">
      <c r="C394" s="32" t="s">
        <v>78</v>
      </c>
      <c r="D394" s="32" t="s">
        <v>300</v>
      </c>
      <c r="E394" s="42">
        <v>55000</v>
      </c>
      <c r="F394" s="32">
        <v>85</v>
      </c>
      <c r="G394" s="32">
        <v>10</v>
      </c>
      <c r="I394" s="21" t="s">
        <v>322</v>
      </c>
    </row>
    <row r="395" spans="2:9" x14ac:dyDescent="0.25">
      <c r="C395" s="32" t="s">
        <v>295</v>
      </c>
      <c r="D395" s="32" t="s">
        <v>301</v>
      </c>
      <c r="E395" s="42">
        <v>48000</v>
      </c>
      <c r="F395" s="32">
        <v>92</v>
      </c>
      <c r="G395" s="32">
        <v>12</v>
      </c>
      <c r="I395" s="21" t="s">
        <v>323</v>
      </c>
    </row>
    <row r="396" spans="2:9" x14ac:dyDescent="0.25">
      <c r="C396" s="32" t="s">
        <v>296</v>
      </c>
      <c r="D396" s="32" t="s">
        <v>302</v>
      </c>
      <c r="E396" s="42">
        <v>65000</v>
      </c>
      <c r="F396" s="32">
        <v>76</v>
      </c>
      <c r="G396" s="32">
        <v>8</v>
      </c>
      <c r="I396" s="21" t="s">
        <v>324</v>
      </c>
    </row>
    <row r="397" spans="2:9" x14ac:dyDescent="0.25">
      <c r="C397" s="32" t="s">
        <v>297</v>
      </c>
      <c r="D397" s="32" t="s">
        <v>303</v>
      </c>
      <c r="E397" s="42">
        <v>72000</v>
      </c>
      <c r="F397" s="32">
        <v>88</v>
      </c>
      <c r="G397" s="32">
        <v>10</v>
      </c>
      <c r="I397" s="21" t="s">
        <v>325</v>
      </c>
    </row>
    <row r="398" spans="2:9" x14ac:dyDescent="0.25">
      <c r="C398" s="32" t="s">
        <v>298</v>
      </c>
      <c r="D398" s="32" t="s">
        <v>304</v>
      </c>
      <c r="E398" s="42">
        <v>50000</v>
      </c>
      <c r="F398" s="32">
        <v>70</v>
      </c>
      <c r="G398" s="32">
        <v>5</v>
      </c>
      <c r="I398" s="21" t="s">
        <v>326</v>
      </c>
    </row>
    <row r="399" spans="2:9" x14ac:dyDescent="0.25">
      <c r="C399" s="32" t="s">
        <v>299</v>
      </c>
      <c r="D399" s="32" t="s">
        <v>300</v>
      </c>
      <c r="E399" s="42">
        <v>58000</v>
      </c>
      <c r="F399" s="32">
        <v>90</v>
      </c>
      <c r="G399" s="32">
        <v>15</v>
      </c>
      <c r="I399" s="21" t="s">
        <v>327</v>
      </c>
    </row>
    <row r="400" spans="2:9" x14ac:dyDescent="0.25">
      <c r="I400" s="21"/>
    </row>
    <row r="401" spans="2:9" x14ac:dyDescent="0.25">
      <c r="I401" s="26" t="s">
        <v>329</v>
      </c>
    </row>
    <row r="402" spans="2:9" x14ac:dyDescent="0.25">
      <c r="I402" s="26" t="s">
        <v>330</v>
      </c>
    </row>
    <row r="403" spans="2:9" x14ac:dyDescent="0.25">
      <c r="I403" s="26" t="s">
        <v>331</v>
      </c>
    </row>
    <row r="404" spans="2:9" x14ac:dyDescent="0.25">
      <c r="I404" s="26" t="s">
        <v>332</v>
      </c>
    </row>
    <row r="405" spans="2:9" x14ac:dyDescent="0.25">
      <c r="I405" s="26" t="s">
        <v>333</v>
      </c>
    </row>
    <row r="406" spans="2:9" x14ac:dyDescent="0.25">
      <c r="I406" s="26" t="s">
        <v>334</v>
      </c>
    </row>
    <row r="411" spans="2:9" ht="15.75" x14ac:dyDescent="0.25">
      <c r="B411" s="7" t="s">
        <v>335</v>
      </c>
      <c r="I411" s="22" t="s">
        <v>336</v>
      </c>
    </row>
    <row r="412" spans="2:9" x14ac:dyDescent="0.25">
      <c r="C412" s="31" t="s">
        <v>294</v>
      </c>
      <c r="I412" s="21" t="s">
        <v>261</v>
      </c>
    </row>
    <row r="413" spans="2:9" x14ac:dyDescent="0.25">
      <c r="C413" s="32">
        <v>10</v>
      </c>
      <c r="I413" s="21" t="s">
        <v>322</v>
      </c>
    </row>
    <row r="414" spans="2:9" x14ac:dyDescent="0.25">
      <c r="C414" s="32">
        <v>12</v>
      </c>
      <c r="I414" s="21" t="s">
        <v>323</v>
      </c>
    </row>
    <row r="415" spans="2:9" x14ac:dyDescent="0.25">
      <c r="C415" s="32">
        <v>8</v>
      </c>
      <c r="I415" s="21" t="s">
        <v>337</v>
      </c>
    </row>
    <row r="416" spans="2:9" x14ac:dyDescent="0.25">
      <c r="C416" s="32">
        <v>10</v>
      </c>
      <c r="I416" s="21"/>
    </row>
    <row r="417" spans="2:9" x14ac:dyDescent="0.25">
      <c r="C417" s="32">
        <v>5</v>
      </c>
      <c r="I417" s="25" t="s">
        <v>328</v>
      </c>
    </row>
    <row r="418" spans="2:9" x14ac:dyDescent="0.25">
      <c r="C418" s="32">
        <v>15</v>
      </c>
      <c r="I418" s="25" t="s">
        <v>338</v>
      </c>
    </row>
    <row r="422" spans="2:9" ht="15.75" x14ac:dyDescent="0.25">
      <c r="B422" s="7" t="s">
        <v>346</v>
      </c>
      <c r="I422" s="22" t="s">
        <v>339</v>
      </c>
    </row>
    <row r="423" spans="2:9" x14ac:dyDescent="0.25">
      <c r="I423" s="24" t="s">
        <v>340</v>
      </c>
    </row>
    <row r="424" spans="2:9" x14ac:dyDescent="0.25">
      <c r="C424" s="23" t="s">
        <v>347</v>
      </c>
      <c r="I424" s="21" t="s">
        <v>322</v>
      </c>
    </row>
    <row r="425" spans="2:9" x14ac:dyDescent="0.25">
      <c r="D425" s="35" t="s">
        <v>291</v>
      </c>
      <c r="E425" s="35" t="s">
        <v>292</v>
      </c>
      <c r="F425" s="35" t="s">
        <v>293</v>
      </c>
      <c r="I425" s="21" t="s">
        <v>323</v>
      </c>
    </row>
    <row r="426" spans="2:9" x14ac:dyDescent="0.25">
      <c r="D426" s="32" t="s">
        <v>300</v>
      </c>
      <c r="E426" s="42"/>
      <c r="F426" s="32">
        <v>85</v>
      </c>
      <c r="I426" s="21" t="s">
        <v>324</v>
      </c>
    </row>
    <row r="427" spans="2:9" x14ac:dyDescent="0.25">
      <c r="D427" s="32" t="s">
        <v>301</v>
      </c>
      <c r="E427" s="42">
        <v>48000</v>
      </c>
      <c r="F427" s="32">
        <v>92</v>
      </c>
      <c r="I427" s="21" t="s">
        <v>343</v>
      </c>
    </row>
    <row r="428" spans="2:9" x14ac:dyDescent="0.25">
      <c r="D428" s="32"/>
      <c r="E428" s="42">
        <v>65000</v>
      </c>
      <c r="F428" s="32">
        <v>76</v>
      </c>
      <c r="I428" s="21" t="s">
        <v>341</v>
      </c>
    </row>
    <row r="429" spans="2:9" x14ac:dyDescent="0.25">
      <c r="D429" s="32" t="s">
        <v>303</v>
      </c>
      <c r="E429" s="42">
        <v>72000</v>
      </c>
      <c r="F429" s="32"/>
      <c r="I429" s="21"/>
    </row>
    <row r="430" spans="2:9" x14ac:dyDescent="0.25">
      <c r="D430" s="32" t="s">
        <v>304</v>
      </c>
      <c r="E430" s="42"/>
      <c r="F430" s="32">
        <v>70</v>
      </c>
      <c r="I430" s="24" t="s">
        <v>342</v>
      </c>
    </row>
    <row r="431" spans="2:9" x14ac:dyDescent="0.25">
      <c r="D431" s="32" t="s">
        <v>300</v>
      </c>
      <c r="E431" s="42">
        <v>58000</v>
      </c>
      <c r="F431" s="32">
        <v>90</v>
      </c>
      <c r="I431" s="21" t="s">
        <v>322</v>
      </c>
    </row>
    <row r="432" spans="2:9" x14ac:dyDescent="0.25">
      <c r="I432" s="21" t="s">
        <v>323</v>
      </c>
    </row>
    <row r="433" spans="2:9" x14ac:dyDescent="0.25">
      <c r="I433" s="21" t="s">
        <v>324</v>
      </c>
    </row>
    <row r="434" spans="2:9" x14ac:dyDescent="0.25">
      <c r="C434" s="23" t="s">
        <v>348</v>
      </c>
      <c r="I434" s="21" t="s">
        <v>344</v>
      </c>
    </row>
    <row r="435" spans="2:9" x14ac:dyDescent="0.25">
      <c r="D435" s="35" t="s">
        <v>291</v>
      </c>
      <c r="E435" s="35" t="s">
        <v>292</v>
      </c>
      <c r="F435" s="35" t="s">
        <v>293</v>
      </c>
      <c r="I435" s="21" t="s">
        <v>345</v>
      </c>
    </row>
    <row r="436" spans="2:9" x14ac:dyDescent="0.25">
      <c r="D436" s="32" t="s">
        <v>300</v>
      </c>
      <c r="E436" s="42">
        <v>55000</v>
      </c>
      <c r="F436" s="32">
        <v>85</v>
      </c>
    </row>
    <row r="437" spans="2:9" x14ac:dyDescent="0.25">
      <c r="D437" s="32" t="s">
        <v>301</v>
      </c>
      <c r="E437" s="42">
        <v>48000</v>
      </c>
      <c r="F437" s="32">
        <v>92</v>
      </c>
    </row>
    <row r="438" spans="2:9" x14ac:dyDescent="0.25">
      <c r="D438" s="32" t="s">
        <v>302</v>
      </c>
      <c r="E438" s="42">
        <v>65000</v>
      </c>
      <c r="F438" s="32">
        <v>76</v>
      </c>
    </row>
    <row r="439" spans="2:9" x14ac:dyDescent="0.25">
      <c r="D439" s="32" t="s">
        <v>303</v>
      </c>
      <c r="E439" s="42">
        <v>72000</v>
      </c>
      <c r="F439" s="32">
        <v>88</v>
      </c>
    </row>
    <row r="440" spans="2:9" x14ac:dyDescent="0.25">
      <c r="D440" s="32" t="s">
        <v>304</v>
      </c>
      <c r="E440" s="42">
        <v>50000</v>
      </c>
      <c r="F440" s="32">
        <v>70</v>
      </c>
    </row>
    <row r="441" spans="2:9" x14ac:dyDescent="0.25">
      <c r="D441" s="32" t="s">
        <v>300</v>
      </c>
      <c r="E441" s="42">
        <v>58000</v>
      </c>
      <c r="F441" s="32">
        <v>90</v>
      </c>
    </row>
    <row r="445" spans="2:9" ht="15.75" x14ac:dyDescent="0.25">
      <c r="B445" s="7" t="s">
        <v>349</v>
      </c>
      <c r="I445" s="22" t="s">
        <v>350</v>
      </c>
    </row>
    <row r="446" spans="2:9" x14ac:dyDescent="0.25">
      <c r="C446" s="35" t="s">
        <v>292</v>
      </c>
      <c r="I446" s="21" t="s">
        <v>261</v>
      </c>
    </row>
    <row r="447" spans="2:9" x14ac:dyDescent="0.25">
      <c r="C447" s="42">
        <v>55000</v>
      </c>
      <c r="I447" s="21" t="s">
        <v>351</v>
      </c>
    </row>
    <row r="448" spans="2:9" x14ac:dyDescent="0.25">
      <c r="C448" s="42">
        <v>48000</v>
      </c>
      <c r="I448" s="21" t="s">
        <v>323</v>
      </c>
    </row>
    <row r="449" spans="3:9" x14ac:dyDescent="0.25">
      <c r="C449" s="42">
        <v>65000</v>
      </c>
      <c r="I449" s="21" t="s">
        <v>352</v>
      </c>
    </row>
    <row r="450" spans="3:9" x14ac:dyDescent="0.25">
      <c r="C450" s="42">
        <v>72000</v>
      </c>
      <c r="I450" s="21" t="s">
        <v>353</v>
      </c>
    </row>
    <row r="451" spans="3:9" x14ac:dyDescent="0.25">
      <c r="C451" s="42">
        <v>50000</v>
      </c>
      <c r="I451" s="21" t="s">
        <v>354</v>
      </c>
    </row>
    <row r="452" spans="3:9" x14ac:dyDescent="0.25">
      <c r="C452" s="42">
        <v>58000</v>
      </c>
    </row>
  </sheetData>
  <phoneticPr fontId="6" type="noConversion"/>
  <conditionalFormatting sqref="E362:E367">
    <cfRule type="cellIs" dxfId="15" priority="18" operator="greaterThan">
      <formula>60000</formula>
    </cfRule>
  </conditionalFormatting>
  <conditionalFormatting sqref="C383:C388">
    <cfRule type="top10" dxfId="14" priority="16" rank="2"/>
  </conditionalFormatting>
  <conditionalFormatting sqref="D383:D388">
    <cfRule type="top10" dxfId="13" priority="13" bottom="1" rank="2"/>
  </conditionalFormatting>
  <conditionalFormatting sqref="C413:C4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36:F441">
    <cfRule type="duplicateValues" dxfId="12" priority="4"/>
  </conditionalFormatting>
  <conditionalFormatting sqref="C447:C452">
    <cfRule type="cellIs" dxfId="11" priority="1" operator="lessThan">
      <formula>60000</formula>
    </cfRule>
    <cfRule type="expression" dxfId="10" priority="3">
      <formula>#REF!="sales"</formula>
    </cfRule>
  </conditionalFormatting>
  <conditionalFormatting sqref="C447:C452">
    <cfRule type="duplicateValues" dxfId="9" priority="2"/>
  </conditionalFormatting>
  <conditionalFormatting sqref="C394:G399">
    <cfRule type="expression" dxfId="8" priority="20">
      <formula>$D394="sales"</formula>
    </cfRule>
  </conditionalFormatting>
  <conditionalFormatting sqref="D426:F431">
    <cfRule type="expression" dxfId="7" priority="24">
      <formula>$E426="sales"</formula>
    </cfRule>
    <cfRule type="containsBlanks" dxfId="6" priority="25">
      <formula>LEN(TRIM(D426))=0</formula>
    </cfRule>
  </conditionalFormatting>
  <conditionalFormatting sqref="D436:F441">
    <cfRule type="expression" dxfId="5" priority="26">
      <formula>$E436="sales"</formula>
    </cfRule>
  </conditionalFormatting>
  <hyperlinks>
    <hyperlink ref="C77" r:id="rId1" xr:uid="{9C5D6A99-A81A-4E21-8581-0FA07538D08F}"/>
    <hyperlink ref="C78" r:id="rId2" xr:uid="{E2CAD252-4C20-4092-B4AE-7984F5F92782}"/>
    <hyperlink ref="C79" r:id="rId3" xr:uid="{58B497FC-6A34-496A-9932-034A6806CD67}"/>
  </hyperlinks>
  <pageMargins left="0.7" right="0.7" top="0.75" bottom="0.75" header="0.3" footer="0.3"/>
  <pageSetup paperSize="9"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6843E-B9C4-4E76-8C95-835B69C6E589}">
  <sheetPr codeName="Sheet2"/>
  <dimension ref="B2:D37"/>
  <sheetViews>
    <sheetView zoomScale="86" workbookViewId="0">
      <selection activeCell="D11" sqref="D11"/>
    </sheetView>
  </sheetViews>
  <sheetFormatPr defaultRowHeight="15" x14ac:dyDescent="0.25"/>
  <cols>
    <col min="2" max="2" width="12.42578125" style="1" bestFit="1" customWidth="1"/>
    <col min="3" max="3" width="71.140625" bestFit="1" customWidth="1"/>
    <col min="4" max="4" width="86.140625" bestFit="1" customWidth="1"/>
    <col min="5" max="5" width="6.28515625" bestFit="1" customWidth="1"/>
  </cols>
  <sheetData>
    <row r="2" spans="2:4" x14ac:dyDescent="0.25">
      <c r="B2" s="46" t="s">
        <v>465</v>
      </c>
      <c r="C2" s="47" t="s">
        <v>467</v>
      </c>
      <c r="D2" s="48" t="s">
        <v>466</v>
      </c>
    </row>
    <row r="3" spans="2:4" x14ac:dyDescent="0.25">
      <c r="B3" s="46" t="e">
        <v>#VALUE!</v>
      </c>
      <c r="C3" s="49" t="s">
        <v>468</v>
      </c>
      <c r="D3" s="50" t="s">
        <v>469</v>
      </c>
    </row>
    <row r="4" spans="2:4" x14ac:dyDescent="0.25">
      <c r="B4" s="46"/>
      <c r="C4" s="49"/>
      <c r="D4" s="50" t="s">
        <v>470</v>
      </c>
    </row>
    <row r="5" spans="2:4" x14ac:dyDescent="0.25">
      <c r="B5" s="46"/>
      <c r="C5" s="49"/>
      <c r="D5" s="50"/>
    </row>
    <row r="6" spans="2:4" x14ac:dyDescent="0.25">
      <c r="B6" s="46" t="s">
        <v>471</v>
      </c>
      <c r="C6" s="49" t="s">
        <v>472</v>
      </c>
      <c r="D6" s="50" t="s">
        <v>473</v>
      </c>
    </row>
    <row r="7" spans="2:4" x14ac:dyDescent="0.25">
      <c r="B7" s="46"/>
      <c r="C7" s="49"/>
      <c r="D7" s="50"/>
    </row>
    <row r="8" spans="2:4" x14ac:dyDescent="0.25">
      <c r="B8" s="46" t="e">
        <v>#DIV/0!</v>
      </c>
      <c r="C8" s="49" t="s">
        <v>474</v>
      </c>
      <c r="D8" s="50" t="s">
        <v>475</v>
      </c>
    </row>
    <row r="9" spans="2:4" x14ac:dyDescent="0.25">
      <c r="B9" s="46"/>
      <c r="C9" s="49"/>
      <c r="D9" s="50" t="s">
        <v>476</v>
      </c>
    </row>
    <row r="10" spans="2:4" x14ac:dyDescent="0.25">
      <c r="B10" s="46"/>
      <c r="C10" s="49"/>
      <c r="D10" s="50"/>
    </row>
    <row r="11" spans="2:4" x14ac:dyDescent="0.25">
      <c r="B11" s="46" t="e">
        <v>#REF!</v>
      </c>
      <c r="C11" s="49" t="s">
        <v>477</v>
      </c>
      <c r="D11" s="50" t="s">
        <v>478</v>
      </c>
    </row>
    <row r="12" spans="2:4" x14ac:dyDescent="0.25">
      <c r="B12" s="46"/>
      <c r="C12" s="49"/>
      <c r="D12" s="50" t="s">
        <v>479</v>
      </c>
    </row>
    <row r="13" spans="2:4" x14ac:dyDescent="0.25">
      <c r="B13" s="46"/>
      <c r="C13" s="49"/>
      <c r="D13" s="50" t="s">
        <v>480</v>
      </c>
    </row>
    <row r="14" spans="2:4" x14ac:dyDescent="0.25">
      <c r="B14" s="46"/>
      <c r="C14" s="49"/>
      <c r="D14" s="50"/>
    </row>
    <row r="15" spans="2:4" x14ac:dyDescent="0.25">
      <c r="B15" s="46" t="e">
        <v>#NULL!</v>
      </c>
      <c r="C15" s="49" t="s">
        <v>481</v>
      </c>
      <c r="D15" s="50" t="s">
        <v>484</v>
      </c>
    </row>
    <row r="16" spans="2:4" x14ac:dyDescent="0.25">
      <c r="B16" s="46"/>
      <c r="C16" s="49" t="s">
        <v>482</v>
      </c>
      <c r="D16" s="50" t="s">
        <v>485</v>
      </c>
    </row>
    <row r="17" spans="2:4" x14ac:dyDescent="0.25">
      <c r="B17" s="46"/>
      <c r="C17" s="49" t="s">
        <v>483</v>
      </c>
      <c r="D17" s="50"/>
    </row>
    <row r="18" spans="2:4" x14ac:dyDescent="0.25">
      <c r="B18" s="46"/>
      <c r="C18" s="49"/>
      <c r="D18" s="50"/>
    </row>
    <row r="19" spans="2:4" x14ac:dyDescent="0.25">
      <c r="B19" s="46" t="e">
        <v>#NUM!</v>
      </c>
      <c r="C19" s="49" t="s">
        <v>486</v>
      </c>
      <c r="D19" s="50" t="s">
        <v>488</v>
      </c>
    </row>
    <row r="20" spans="2:4" x14ac:dyDescent="0.25">
      <c r="B20" s="46"/>
      <c r="C20" s="49" t="s">
        <v>487</v>
      </c>
      <c r="D20" s="51"/>
    </row>
    <row r="21" spans="2:4" x14ac:dyDescent="0.25">
      <c r="B21" s="46"/>
      <c r="C21" s="49"/>
      <c r="D21" s="50"/>
    </row>
    <row r="22" spans="2:4" x14ac:dyDescent="0.25">
      <c r="B22" s="46" t="s">
        <v>489</v>
      </c>
      <c r="C22" s="49" t="s">
        <v>490</v>
      </c>
      <c r="D22" s="50" t="s">
        <v>491</v>
      </c>
    </row>
    <row r="23" spans="2:4" x14ac:dyDescent="0.25">
      <c r="B23" s="46"/>
      <c r="C23" s="49" t="s">
        <v>493</v>
      </c>
      <c r="D23" s="50" t="s">
        <v>492</v>
      </c>
    </row>
    <row r="24" spans="2:4" x14ac:dyDescent="0.25">
      <c r="B24" s="46"/>
      <c r="C24" s="49"/>
      <c r="D24" s="50"/>
    </row>
    <row r="25" spans="2:4" x14ac:dyDescent="0.25">
      <c r="B25" s="46" t="e" vm="1">
        <v>#VALUE!</v>
      </c>
      <c r="C25" s="49" t="s">
        <v>497</v>
      </c>
      <c r="D25" s="50" t="s">
        <v>494</v>
      </c>
    </row>
    <row r="26" spans="2:4" x14ac:dyDescent="0.25">
      <c r="B26" s="46"/>
      <c r="C26" s="49"/>
      <c r="D26" s="50" t="s">
        <v>495</v>
      </c>
    </row>
    <row r="27" spans="2:4" x14ac:dyDescent="0.25">
      <c r="B27" s="46"/>
      <c r="C27" s="49"/>
      <c r="D27" s="50" t="s">
        <v>496</v>
      </c>
    </row>
    <row r="28" spans="2:4" x14ac:dyDescent="0.25">
      <c r="B28" s="46"/>
      <c r="C28" s="49"/>
      <c r="D28" s="50" t="s">
        <v>498</v>
      </c>
    </row>
    <row r="29" spans="2:4" x14ac:dyDescent="0.25">
      <c r="B29" s="46"/>
      <c r="C29" s="49"/>
      <c r="D29" s="50" t="s">
        <v>505</v>
      </c>
    </row>
    <row r="30" spans="2:4" x14ac:dyDescent="0.25">
      <c r="B30" s="46"/>
      <c r="C30" s="49"/>
      <c r="D30" s="50"/>
    </row>
    <row r="31" spans="2:4" x14ac:dyDescent="0.25">
      <c r="B31" s="46" t="e" vm="2">
        <v>#VALUE!</v>
      </c>
      <c r="C31" s="49" t="s">
        <v>499</v>
      </c>
      <c r="D31" s="50" t="s">
        <v>501</v>
      </c>
    </row>
    <row r="32" spans="2:4" x14ac:dyDescent="0.25">
      <c r="B32" s="46"/>
      <c r="C32" s="49" t="s">
        <v>500</v>
      </c>
      <c r="D32" s="50" t="s">
        <v>502</v>
      </c>
    </row>
    <row r="33" spans="2:4" x14ac:dyDescent="0.25">
      <c r="B33" s="46"/>
      <c r="C33" s="49"/>
      <c r="D33" s="50" t="s">
        <v>503</v>
      </c>
    </row>
    <row r="34" spans="2:4" x14ac:dyDescent="0.25">
      <c r="B34" s="46"/>
      <c r="C34" s="49"/>
      <c r="D34" s="50" t="s">
        <v>504</v>
      </c>
    </row>
    <row r="35" spans="2:4" x14ac:dyDescent="0.25">
      <c r="B35" s="46"/>
      <c r="C35" s="49"/>
      <c r="D35" s="50"/>
    </row>
    <row r="36" spans="2:4" x14ac:dyDescent="0.25">
      <c r="B36" s="46" t="s">
        <v>506</v>
      </c>
      <c r="C36" s="49" t="s">
        <v>509</v>
      </c>
      <c r="D36" s="50" t="s">
        <v>507</v>
      </c>
    </row>
    <row r="37" spans="2:4" x14ac:dyDescent="0.25">
      <c r="B37" s="46"/>
      <c r="C37" s="49" t="s">
        <v>510</v>
      </c>
      <c r="D37" s="50" t="s">
        <v>508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Basic Excel</vt:lpstr>
      <vt:lpstr>Error + 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2025-12-07T05:22:41Z</cp:lastPrinted>
  <dcterms:created xsi:type="dcterms:W3CDTF">2025-12-02T07:18:32Z</dcterms:created>
  <dcterms:modified xsi:type="dcterms:W3CDTF">2026-02-09T08:18:00Z</dcterms:modified>
</cp:coreProperties>
</file>