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Learning + Portfolio\Excel\"/>
    </mc:Choice>
  </mc:AlternateContent>
  <xr:revisionPtr revIDLastSave="0" documentId="13_ncr:1_{7203A0D1-F456-4E8D-A261-F5E7EAA8FD24}" xr6:coauthVersionLast="47" xr6:coauthVersionMax="47" xr10:uidLastSave="{00000000-0000-0000-0000-000000000000}"/>
  <bookViews>
    <workbookView xWindow="-120" yWindow="-120" windowWidth="20730" windowHeight="11040" firstSheet="1" activeTab="1" xr2:uid="{405C9433-F12E-4548-A5A6-7B8C28D2AA8F}"/>
  </bookViews>
  <sheets>
    <sheet name="Raw Data" sheetId="2" r:id="rId1"/>
    <sheet name="Total Sales Category+Visual" sheetId="3" r:id="rId2"/>
  </sheets>
  <definedNames>
    <definedName name="_xlpm.diskon" hidden="1" xlm="1">#NAME?</definedName>
    <definedName name="_xlpm.harga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3" l="1"/>
  <c r="S3" i="3"/>
  <c r="R2" i="3"/>
  <c r="R3" i="3"/>
  <c r="R4" i="3"/>
  <c r="R5" i="3"/>
  <c r="O2" i="3" a="1"/>
  <c r="O2" i="3" s="1"/>
  <c r="G2" i="3"/>
  <c r="K2" i="3" s="1"/>
  <c r="I2" i="3"/>
  <c r="J2" i="3"/>
  <c r="Q2" i="3" s="1" a="1"/>
  <c r="Q2" i="3" s="1"/>
  <c r="N2" i="3"/>
  <c r="G3" i="3"/>
  <c r="I3" i="3"/>
  <c r="J3" i="3"/>
  <c r="K3" i="3"/>
  <c r="G4" i="3"/>
  <c r="K4" i="3" s="1"/>
  <c r="I4" i="3"/>
  <c r="J4" i="3"/>
  <c r="G5" i="3"/>
  <c r="I5" i="3"/>
  <c r="J5" i="3"/>
  <c r="G6" i="3"/>
  <c r="P3" i="3" s="1"/>
  <c r="I6" i="3"/>
  <c r="J6" i="3"/>
  <c r="G7" i="3"/>
  <c r="K7" i="3" s="1"/>
  <c r="I7" i="3"/>
  <c r="J7" i="3"/>
  <c r="G8" i="3"/>
  <c r="P5" i="3" s="1"/>
  <c r="I8" i="3"/>
  <c r="J8" i="3"/>
  <c r="G9" i="3"/>
  <c r="K9" i="3" s="1"/>
  <c r="I9" i="3"/>
  <c r="J9" i="3"/>
  <c r="G10" i="3"/>
  <c r="I10" i="3"/>
  <c r="J10" i="3"/>
  <c r="G11" i="3"/>
  <c r="K11" i="3" s="1"/>
  <c r="I11" i="3"/>
  <c r="J11" i="3"/>
  <c r="G12" i="3"/>
  <c r="K12" i="3" s="1"/>
  <c r="I12" i="3"/>
  <c r="J12" i="3"/>
  <c r="G13" i="3"/>
  <c r="K13" i="3" s="1"/>
  <c r="I13" i="3"/>
  <c r="J13" i="3"/>
  <c r="G14" i="3"/>
  <c r="K14" i="3" s="1"/>
  <c r="I14" i="3"/>
  <c r="J14" i="3"/>
  <c r="G15" i="3"/>
  <c r="K15" i="3" s="1"/>
  <c r="I15" i="3"/>
  <c r="J15" i="3"/>
  <c r="G16" i="3"/>
  <c r="K16" i="3" s="1"/>
  <c r="I16" i="3"/>
  <c r="J16" i="3"/>
  <c r="G17" i="3"/>
  <c r="K17" i="3" s="1"/>
  <c r="I17" i="3"/>
  <c r="J17" i="3"/>
  <c r="G18" i="3"/>
  <c r="K18" i="3" s="1"/>
  <c r="I18" i="3"/>
  <c r="J18" i="3"/>
  <c r="G19" i="3"/>
  <c r="K19" i="3" s="1"/>
  <c r="I19" i="3"/>
  <c r="J19" i="3"/>
  <c r="G20" i="3"/>
  <c r="K20" i="3" s="1"/>
  <c r="I20" i="3"/>
  <c r="J20" i="3"/>
  <c r="G21" i="3"/>
  <c r="K21" i="3" s="1"/>
  <c r="I21" i="3"/>
  <c r="J21" i="3"/>
  <c r="G22" i="3"/>
  <c r="K22" i="3" s="1"/>
  <c r="I22" i="3"/>
  <c r="J22" i="3"/>
  <c r="G23" i="3"/>
  <c r="K23" i="3" s="1"/>
  <c r="I23" i="3"/>
  <c r="J23" i="3"/>
  <c r="G24" i="3"/>
  <c r="K24" i="3" s="1"/>
  <c r="I24" i="3"/>
  <c r="J24" i="3"/>
  <c r="G25" i="3"/>
  <c r="K25" i="3" s="1"/>
  <c r="I25" i="3"/>
  <c r="J25" i="3"/>
  <c r="G26" i="3"/>
  <c r="K26" i="3" s="1"/>
  <c r="I26" i="3"/>
  <c r="J26" i="3"/>
  <c r="G27" i="3"/>
  <c r="K27" i="3" s="1"/>
  <c r="I27" i="3"/>
  <c r="J27" i="3"/>
  <c r="G28" i="3"/>
  <c r="K28" i="3" s="1"/>
  <c r="I28" i="3"/>
  <c r="J28" i="3"/>
  <c r="G29" i="3"/>
  <c r="K29" i="3" s="1"/>
  <c r="I29" i="3"/>
  <c r="J29" i="3"/>
  <c r="G30" i="3"/>
  <c r="K30" i="3" s="1"/>
  <c r="I30" i="3"/>
  <c r="J30" i="3"/>
  <c r="G31" i="3"/>
  <c r="K31" i="3" s="1"/>
  <c r="I31" i="3"/>
  <c r="J31" i="3"/>
  <c r="G32" i="3"/>
  <c r="K32" i="3" s="1"/>
  <c r="I32" i="3"/>
  <c r="J32" i="3"/>
  <c r="G33" i="3"/>
  <c r="K33" i="3" s="1"/>
  <c r="I33" i="3"/>
  <c r="J33" i="3"/>
  <c r="G34" i="3"/>
  <c r="K34" i="3" s="1"/>
  <c r="I34" i="3"/>
  <c r="J34" i="3"/>
  <c r="G35" i="3"/>
  <c r="K35" i="3" s="1"/>
  <c r="I35" i="3"/>
  <c r="J35" i="3"/>
  <c r="G36" i="3"/>
  <c r="K36" i="3" s="1"/>
  <c r="I36" i="3"/>
  <c r="J36" i="3"/>
  <c r="G37" i="3"/>
  <c r="K37" i="3" s="1"/>
  <c r="I37" i="3"/>
  <c r="J37" i="3"/>
  <c r="G38" i="3"/>
  <c r="K38" i="3" s="1"/>
  <c r="I38" i="3"/>
  <c r="J38" i="3"/>
  <c r="G39" i="3"/>
  <c r="K39" i="3" s="1"/>
  <c r="I39" i="3"/>
  <c r="J39" i="3"/>
  <c r="G40" i="3"/>
  <c r="K40" i="3" s="1"/>
  <c r="I40" i="3"/>
  <c r="J40" i="3"/>
  <c r="G41" i="3"/>
  <c r="K41" i="3" s="1"/>
  <c r="I41" i="3"/>
  <c r="J41" i="3"/>
  <c r="G42" i="3"/>
  <c r="K42" i="3" s="1"/>
  <c r="I42" i="3"/>
  <c r="J42" i="3"/>
  <c r="G43" i="3"/>
  <c r="K43" i="3" s="1"/>
  <c r="I43" i="3"/>
  <c r="J43" i="3"/>
  <c r="G44" i="3"/>
  <c r="K44" i="3" s="1"/>
  <c r="I44" i="3"/>
  <c r="J44" i="3"/>
  <c r="G45" i="3"/>
  <c r="K45" i="3" s="1"/>
  <c r="I45" i="3"/>
  <c r="J45" i="3"/>
  <c r="G46" i="3"/>
  <c r="K46" i="3" s="1"/>
  <c r="I46" i="3"/>
  <c r="J46" i="3"/>
  <c r="G47" i="3"/>
  <c r="K47" i="3" s="1"/>
  <c r="I47" i="3"/>
  <c r="J47" i="3"/>
  <c r="G48" i="3"/>
  <c r="K48" i="3" s="1"/>
  <c r="I48" i="3"/>
  <c r="J48" i="3"/>
  <c r="G49" i="3"/>
  <c r="K49" i="3" s="1"/>
  <c r="I49" i="3"/>
  <c r="J49" i="3"/>
  <c r="G50" i="3"/>
  <c r="K50" i="3" s="1"/>
  <c r="I50" i="3"/>
  <c r="J50" i="3"/>
  <c r="G51" i="3"/>
  <c r="K51" i="3" s="1"/>
  <c r="I51" i="3"/>
  <c r="J51" i="3"/>
  <c r="G52" i="3"/>
  <c r="K52" i="3" s="1"/>
  <c r="I52" i="3"/>
  <c r="J52" i="3"/>
  <c r="P4" i="3" l="1"/>
  <c r="P2" i="3"/>
  <c r="K10" i="3"/>
  <c r="K8" i="3"/>
  <c r="K6" i="3"/>
  <c r="L2" i="3"/>
  <c r="K5" i="3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<sst xmlns="http://schemas.openxmlformats.org/spreadsheetml/2006/main" count="229" uniqueCount="94">
  <si>
    <t>1050,26/01/2024,Headphones,Electronics,2,200000,,North</t>
  </si>
  <si>
    <t>1049,,Cap,Accessories,4,45000,,East</t>
  </si>
  <si>
    <t>1048,25/01/2024,Jacket,Apparel,1,150000,,South</t>
  </si>
  <si>
    <t>1047,25/01/2024,Shoes,Footwear,3,250000,,West</t>
  </si>
  <si>
    <t>1046,24/01/2024,T-Shirt,Apparel,,75000,,East</t>
  </si>
  <si>
    <t>1045,24/01/2024,Bag,Accessories,2,120000,,West</t>
  </si>
  <si>
    <t>1044,23/01/2024,Headphones,Electronics,1,200000,,North</t>
  </si>
  <si>
    <t>1043,23/01/2024,Cap,Accessories,5,45000,,East</t>
  </si>
  <si>
    <t>1042,22/01/2024,Jacket,Apparel,2,150000,,South</t>
  </si>
  <si>
    <t>1041,22/01/2024,Shoes,Footwear,2,250000,,West</t>
  </si>
  <si>
    <t>1040,21/01/2024,T-Shirt,Apparel,4,75000,,East</t>
  </si>
  <si>
    <t>1039,21/01/2024,Bag,Accessories,1,120000,,South</t>
  </si>
  <si>
    <t>1038,20/01/2024,Headphones,Electronics,2,200000,,North</t>
  </si>
  <si>
    <t>1037,20/01/2024,Cap,Accessories,3,45000,,East</t>
  </si>
  <si>
    <t>1036,19/01/2024,Jacket,Apparel,1,150000,,South</t>
  </si>
  <si>
    <t>1035,19/01/2024,Shoes,Footwear,2,250000,,West</t>
  </si>
  <si>
    <t>1034,18/01/2024,T-shirt,Apparel,5,75000,,East</t>
  </si>
  <si>
    <t>1033,18/01/2024,Bag,Accessories,,120000,,West</t>
  </si>
  <si>
    <t>1032,17/01/2024,Headphones,Electronics,1,200000,,North</t>
  </si>
  <si>
    <t>1031,17/01/2024,Cap,Accessories,4,45000,,East</t>
  </si>
  <si>
    <t>1030,16/01/2024,Jacket,Apparel,3,150000,,South</t>
  </si>
  <si>
    <t>1029,16/01/2024,Shoes,Footwear,1,250000,,West</t>
  </si>
  <si>
    <t>1028,15/01/2024,T-Shirt,Apparel,2,75000,,East</t>
  </si>
  <si>
    <t>1027,15/01/2024,Bag,Accessories,3,120000,,south</t>
  </si>
  <si>
    <t>1026,14/01/2024,Headphones,Electronics,2,200000,,North</t>
  </si>
  <si>
    <t>1025,14/01/2024,Cap,Accessories,5,45000,,East</t>
  </si>
  <si>
    <t>1024,,Jacket,Apparel,1,150000,,South</t>
  </si>
  <si>
    <t>1023,13/01/2024,Shoes,Footwear,2,250000,,West</t>
  </si>
  <si>
    <t>1022,13/01/2024,T-shirt,Apparel,4,75000,,East</t>
  </si>
  <si>
    <t>1021,12/01/2024,Bag,Accessories,1,120000,,West</t>
  </si>
  <si>
    <t>1020,12/01/2024,Headphones,Electronics,,200000,,South</t>
  </si>
  <si>
    <t>1019,11/01/2024,Cap,Accessories,3,45000,,East</t>
  </si>
  <si>
    <t>1018,11/01/2024,Jacket,Apparel,2,150000,,north</t>
  </si>
  <si>
    <t>blok teks - data - teks to columns - delimitter - comma - next - (pilih kolom tgl) date - finish</t>
  </si>
  <si>
    <t>1017,10/01/2024,Shoes,Footwear,1,250000,,West</t>
  </si>
  <si>
    <t>perubahan data di samping, menjadi lebih baik</t>
  </si>
  <si>
    <t>1016,10/01/2024,T-Shirt,Apparel,3,75000,,East</t>
  </si>
  <si>
    <t>1015,09/01/2024,Bag,Accessories,2,120000,,South</t>
  </si>
  <si>
    <t>1014,09/01/2024,Headphones,Electronics,1,200000,,South</t>
  </si>
  <si>
    <t>1013,08/01/2024,Cap,Accessories,4,45000,,East</t>
  </si>
  <si>
    <t>1012,08/01/2024,T-Shirt ,Apparel,5,75000,,North</t>
  </si>
  <si>
    <t>1011,07/01/2024,Shoes,Footwear,3,250000,,West</t>
  </si>
  <si>
    <t>1010,07/01/2024,Jacket,Apparel,2,150000,,West</t>
  </si>
  <si>
    <t>1009,06/01/2024,Bag,Accessories,2,120000,,South</t>
  </si>
  <si>
    <t>1008,06/01/2024,Cap,Accessories,,45000,,East</t>
  </si>
  <si>
    <t>1007,05/01/2024,T-shirt,Apparel,4,75000,,east</t>
  </si>
  <si>
    <t>1006,04/01/2024,Headphones,Electronics,1,200000,,North</t>
  </si>
  <si>
    <t>1005,03/01/2024,Shoes,Footwear,2,250000,,West</t>
  </si>
  <si>
    <t>1004,03/01/2024,Jacket,Apparel,1,150000,,South</t>
  </si>
  <si>
    <t>1003,,Cap,Accessories,5,45000,,East</t>
  </si>
  <si>
    <t>1002,02/01/2024,Shoes,Footwear,2,250000,,West</t>
  </si>
  <si>
    <t>1001,01/01/2024,T-Shirt,Apparel,3,75000,,East</t>
  </si>
  <si>
    <t>Order_ID,Order_Date,Product,Category,Qty, Unit_Price,Total_Sales,region</t>
  </si>
  <si>
    <t>North</t>
  </si>
  <si>
    <t>Electronics</t>
  </si>
  <si>
    <t>Headphones</t>
  </si>
  <si>
    <t>East</t>
  </si>
  <si>
    <t>Accessories</t>
  </si>
  <si>
    <t>Cap</t>
  </si>
  <si>
    <t>South</t>
  </si>
  <si>
    <t>Apparel</t>
  </si>
  <si>
    <t>Jacket</t>
  </si>
  <si>
    <t>West</t>
  </si>
  <si>
    <t>Footwear</t>
  </si>
  <si>
    <t>Shoes</t>
  </si>
  <si>
    <t>T-Shirt</t>
  </si>
  <si>
    <t>Bag</t>
  </si>
  <si>
    <t>T-shirt</t>
  </si>
  <si>
    <t>south</t>
  </si>
  <si>
    <t>north</t>
  </si>
  <si>
    <t xml:space="preserve">T-Shirt </t>
  </si>
  <si>
    <t>east</t>
  </si>
  <si>
    <t>Total Sales per Category</t>
  </si>
  <si>
    <t>Category_new</t>
  </si>
  <si>
    <t>Count Order_ID</t>
  </si>
  <si>
    <t>Average Total_Sales</t>
  </si>
  <si>
    <t>Total Total_Sales</t>
  </si>
  <si>
    <t>Sales Category</t>
  </si>
  <si>
    <t>Region_Clean</t>
  </si>
  <si>
    <t>Product_Clean</t>
  </si>
  <si>
    <t>Region</t>
  </si>
  <si>
    <t>Total_sales</t>
  </si>
  <si>
    <t>Unit_Price</t>
  </si>
  <si>
    <t>QTY</t>
  </si>
  <si>
    <t>Category</t>
  </si>
  <si>
    <t>Product</t>
  </si>
  <si>
    <t>Order_Date</t>
  </si>
  <si>
    <t>Order_ID</t>
  </si>
  <si>
    <t>Region_new</t>
  </si>
  <si>
    <t>Total Sales per Region</t>
  </si>
  <si>
    <t>Sales High vs Low</t>
  </si>
  <si>
    <t>High</t>
  </si>
  <si>
    <t>Low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</si>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</sst>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4">
    <xf numFmtId="0" fontId="0" fillId="0" borderId="0" xfId="0"/>
    <xf numFmtId="0" fontId="2" fillId="0" borderId="0" xfId="0" applyFont="1"/>
    <xf numFmtId="14" fontId="0" fillId="0" borderId="0" xfId="0" applyNumberFormat="1"/>
    <xf numFmtId="41" fontId="0" fillId="0" borderId="0" xfId="1" applyFont="1"/>
  </cellXfs>
  <cellStyles count="2">
    <cellStyle name="Comma [0]" xfId="1" builtinId="6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Total Sales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'Total Sales Category+Visual'!$G$1</c:f>
              <c:strCache>
                <c:ptCount val="1"/>
                <c:pt idx="0">
                  <c:v>Total_sales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'Total Sales Category+Visual'!$B$2:$B$52</c:f>
              <c:numCache>
                <c:formatCode>m/d/yyyy</c:formatCode>
                <c:ptCount val="51"/>
                <c:pt idx="0">
                  <c:v>45292</c:v>
                </c:pt>
                <c:pt idx="1">
                  <c:v>45293</c:v>
                </c:pt>
                <c:pt idx="2">
                  <c:v>45292</c:v>
                </c:pt>
                <c:pt idx="3">
                  <c:v>45294</c:v>
                </c:pt>
                <c:pt idx="4">
                  <c:v>45294</c:v>
                </c:pt>
                <c:pt idx="5">
                  <c:v>45294</c:v>
                </c:pt>
                <c:pt idx="6">
                  <c:v>45295</c:v>
                </c:pt>
                <c:pt idx="7">
                  <c:v>45296</c:v>
                </c:pt>
                <c:pt idx="8">
                  <c:v>45297</c:v>
                </c:pt>
                <c:pt idx="9">
                  <c:v>45297</c:v>
                </c:pt>
                <c:pt idx="10">
                  <c:v>45298</c:v>
                </c:pt>
                <c:pt idx="11">
                  <c:v>45298</c:v>
                </c:pt>
                <c:pt idx="12">
                  <c:v>45299</c:v>
                </c:pt>
                <c:pt idx="13">
                  <c:v>45299</c:v>
                </c:pt>
                <c:pt idx="14">
                  <c:v>45300</c:v>
                </c:pt>
                <c:pt idx="15">
                  <c:v>45300</c:v>
                </c:pt>
                <c:pt idx="16">
                  <c:v>45301</c:v>
                </c:pt>
                <c:pt idx="17">
                  <c:v>45301</c:v>
                </c:pt>
                <c:pt idx="18">
                  <c:v>45302</c:v>
                </c:pt>
                <c:pt idx="19">
                  <c:v>45302</c:v>
                </c:pt>
                <c:pt idx="20">
                  <c:v>45303</c:v>
                </c:pt>
                <c:pt idx="21">
                  <c:v>45303</c:v>
                </c:pt>
                <c:pt idx="22">
                  <c:v>45304</c:v>
                </c:pt>
                <c:pt idx="23">
                  <c:v>45304</c:v>
                </c:pt>
                <c:pt idx="24">
                  <c:v>45292</c:v>
                </c:pt>
                <c:pt idx="25">
                  <c:v>45305</c:v>
                </c:pt>
                <c:pt idx="26">
                  <c:v>45305</c:v>
                </c:pt>
                <c:pt idx="27">
                  <c:v>45306</c:v>
                </c:pt>
                <c:pt idx="28">
                  <c:v>45306</c:v>
                </c:pt>
                <c:pt idx="29">
                  <c:v>45307</c:v>
                </c:pt>
                <c:pt idx="30">
                  <c:v>45307</c:v>
                </c:pt>
                <c:pt idx="31">
                  <c:v>45308</c:v>
                </c:pt>
                <c:pt idx="32">
                  <c:v>45308</c:v>
                </c:pt>
                <c:pt idx="33">
                  <c:v>45309</c:v>
                </c:pt>
                <c:pt idx="34">
                  <c:v>45309</c:v>
                </c:pt>
                <c:pt idx="35">
                  <c:v>45310</c:v>
                </c:pt>
                <c:pt idx="36">
                  <c:v>45310</c:v>
                </c:pt>
                <c:pt idx="37">
                  <c:v>45311</c:v>
                </c:pt>
                <c:pt idx="38">
                  <c:v>45311</c:v>
                </c:pt>
                <c:pt idx="39">
                  <c:v>45312</c:v>
                </c:pt>
                <c:pt idx="40">
                  <c:v>45312</c:v>
                </c:pt>
                <c:pt idx="41">
                  <c:v>45313</c:v>
                </c:pt>
                <c:pt idx="42">
                  <c:v>45313</c:v>
                </c:pt>
                <c:pt idx="43">
                  <c:v>45314</c:v>
                </c:pt>
                <c:pt idx="44">
                  <c:v>45314</c:v>
                </c:pt>
                <c:pt idx="45">
                  <c:v>45315</c:v>
                </c:pt>
                <c:pt idx="46">
                  <c:v>45315</c:v>
                </c:pt>
                <c:pt idx="47">
                  <c:v>45316</c:v>
                </c:pt>
                <c:pt idx="48">
                  <c:v>45316</c:v>
                </c:pt>
                <c:pt idx="49">
                  <c:v>45292</c:v>
                </c:pt>
                <c:pt idx="50">
                  <c:v>45317</c:v>
                </c:pt>
              </c:numCache>
            </c:numRef>
          </c:cat>
          <c:val>
            <c:numRef>
              <c:f>'Total Sales Category+Visual'!$G$2:$G$57</c:f>
              <c:numCache>
                <c:formatCode>General</c:formatCode>
                <c:ptCount val="56"/>
                <c:pt idx="0">
                  <c:v>225000</c:v>
                </c:pt>
                <c:pt idx="1">
                  <c:v>500000</c:v>
                </c:pt>
                <c:pt idx="2">
                  <c:v>225000</c:v>
                </c:pt>
                <c:pt idx="3">
                  <c:v>150000</c:v>
                </c:pt>
                <c:pt idx="4">
                  <c:v>500000</c:v>
                </c:pt>
                <c:pt idx="5">
                  <c:v>500000</c:v>
                </c:pt>
                <c:pt idx="6">
                  <c:v>200000</c:v>
                </c:pt>
                <c:pt idx="7">
                  <c:v>300000</c:v>
                </c:pt>
                <c:pt idx="8">
                  <c:v>0</c:v>
                </c:pt>
                <c:pt idx="9">
                  <c:v>240000</c:v>
                </c:pt>
                <c:pt idx="10">
                  <c:v>300000</c:v>
                </c:pt>
                <c:pt idx="11">
                  <c:v>750000</c:v>
                </c:pt>
                <c:pt idx="12">
                  <c:v>375000</c:v>
                </c:pt>
                <c:pt idx="13">
                  <c:v>180000</c:v>
                </c:pt>
                <c:pt idx="14">
                  <c:v>200000</c:v>
                </c:pt>
                <c:pt idx="15">
                  <c:v>240000</c:v>
                </c:pt>
                <c:pt idx="16">
                  <c:v>225000</c:v>
                </c:pt>
                <c:pt idx="17">
                  <c:v>250000</c:v>
                </c:pt>
                <c:pt idx="18">
                  <c:v>300000</c:v>
                </c:pt>
                <c:pt idx="19">
                  <c:v>135000</c:v>
                </c:pt>
                <c:pt idx="20">
                  <c:v>0</c:v>
                </c:pt>
                <c:pt idx="21">
                  <c:v>120000</c:v>
                </c:pt>
                <c:pt idx="22">
                  <c:v>300000</c:v>
                </c:pt>
                <c:pt idx="23">
                  <c:v>500000</c:v>
                </c:pt>
                <c:pt idx="24">
                  <c:v>150000</c:v>
                </c:pt>
                <c:pt idx="25">
                  <c:v>225000</c:v>
                </c:pt>
                <c:pt idx="26">
                  <c:v>400000</c:v>
                </c:pt>
                <c:pt idx="27">
                  <c:v>360000</c:v>
                </c:pt>
                <c:pt idx="28">
                  <c:v>150000</c:v>
                </c:pt>
                <c:pt idx="29">
                  <c:v>250000</c:v>
                </c:pt>
                <c:pt idx="30">
                  <c:v>450000</c:v>
                </c:pt>
                <c:pt idx="31">
                  <c:v>180000</c:v>
                </c:pt>
                <c:pt idx="32">
                  <c:v>200000</c:v>
                </c:pt>
                <c:pt idx="33">
                  <c:v>0</c:v>
                </c:pt>
                <c:pt idx="34">
                  <c:v>375000</c:v>
                </c:pt>
                <c:pt idx="35">
                  <c:v>500000</c:v>
                </c:pt>
                <c:pt idx="36">
                  <c:v>150000</c:v>
                </c:pt>
                <c:pt idx="37">
                  <c:v>135000</c:v>
                </c:pt>
                <c:pt idx="38">
                  <c:v>400000</c:v>
                </c:pt>
                <c:pt idx="39">
                  <c:v>120000</c:v>
                </c:pt>
                <c:pt idx="40">
                  <c:v>300000</c:v>
                </c:pt>
                <c:pt idx="41">
                  <c:v>500000</c:v>
                </c:pt>
                <c:pt idx="42">
                  <c:v>300000</c:v>
                </c:pt>
                <c:pt idx="43">
                  <c:v>225000</c:v>
                </c:pt>
                <c:pt idx="44">
                  <c:v>200000</c:v>
                </c:pt>
                <c:pt idx="45">
                  <c:v>240000</c:v>
                </c:pt>
                <c:pt idx="46">
                  <c:v>0</c:v>
                </c:pt>
                <c:pt idx="47">
                  <c:v>750000</c:v>
                </c:pt>
                <c:pt idx="48">
                  <c:v>150000</c:v>
                </c:pt>
                <c:pt idx="49">
                  <c:v>180000</c:v>
                </c:pt>
                <c:pt idx="50">
                  <c:v>400000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60-4643-A9E2-29372A65F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1000256"/>
        <c:axId val="1721001920"/>
      </c:lineChart>
      <c:dateAx>
        <c:axId val="1721000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001920"/>
        <c:crosses val="autoZero"/>
        <c:auto val="1"/>
        <c:lblOffset val="100"/>
        <c:baseTimeUnit val="days"/>
      </c:dateAx>
      <c:valAx>
        <c:axId val="172100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 Total</a:t>
                </a:r>
                <a:r>
                  <a:rPr lang="en-ID" baseline="0"/>
                  <a:t> 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00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'Total Sales Category+Visual'!$R$1</c:f>
              <c:strCache>
                <c:ptCount val="1"/>
                <c:pt idx="0">
                  <c:v>Total Sales per Region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'Total Sales Category+Visual'!$Q$2:$Q$5</c:f>
              <c:strCache>
                <c:ptCount val="4"/>
                <c:pt idx="0">
                  <c:v>EAST</c:v>
                </c:pt>
                <c:pt idx="1">
                  <c:v>WEST</c:v>
                </c:pt>
                <c:pt idx="2">
                  <c:v>SOUTH</c:v>
                </c:pt>
                <c:pt idx="3">
                  <c:v>NORTH</c:v>
                </c:pt>
              </c:strCache>
            </c:strRef>
          </c:cat>
          <c:val>
            <c:numRef>
              <c:f>'Total Sales Category+Visual'!$R$2:$R$5</c:f>
              <c:numCache>
                <c:formatCode>_(* #,##0_);_(* \(#,##0\);_(* "-"_);_(@_)</c:formatCode>
                <c:ptCount val="4"/>
                <c:pt idx="0">
                  <c:v>3360000</c:v>
                </c:pt>
                <c:pt idx="1">
                  <c:v>3135000</c:v>
                </c:pt>
                <c:pt idx="2">
                  <c:v>3135000</c:v>
                </c:pt>
                <c:pt idx="3">
                  <c:v>2910000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FA-4F32-93FA-92163283C3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5180831"/>
        <c:axId val="155177087"/>
      </c:barChart>
      <c:catAx>
        <c:axId val="155180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Region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77087"/>
        <c:crosses val="autoZero"/>
        <c:auto val="1"/>
        <c:lblAlgn val="ctr"/>
        <c:lblOffset val="100"/>
        <c:noMultiLvlLbl val="0"/>
      </c:catAx>
      <c:valAx>
        <c:axId val="155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Total 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808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'Total Sales Category+Visual'!$P$1</c:f>
              <c:strCache>
                <c:ptCount val="1"/>
                <c:pt idx="0">
                  <c:v>Total Sales per Category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'Total Sales Category+Visual'!$O$2:$O$5</c:f>
              <c:strCache>
                <c:ptCount val="4"/>
                <c:pt idx="0">
                  <c:v>Apparel</c:v>
                </c:pt>
                <c:pt idx="1">
                  <c:v>Footwear</c:v>
                </c:pt>
                <c:pt idx="2">
                  <c:v>Accessories</c:v>
                </c:pt>
                <c:pt idx="3">
                  <c:v>Electronics</c:v>
                </c:pt>
              </c:strCache>
            </c:strRef>
          </c:cat>
          <c:val>
            <c:numRef>
              <c:f>'Total Sales Category+Visual'!$P$2:$P$5</c:f>
              <c:numCache>
                <c:formatCode>_(* #,##0_);_(* \(#,##0\);_(* "-"_);_(@_)</c:formatCode>
                <c:ptCount val="4"/>
                <c:pt idx="0">
                  <c:v>4200000</c:v>
                </c:pt>
                <c:pt idx="1">
                  <c:v>5000000</c:v>
                </c:pt>
                <c:pt idx="2">
                  <c:v>2805000</c:v>
                </c:pt>
                <c:pt idx="3">
                  <c:v>2000000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E-4EC2-88AF-5843AE5748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987851855"/>
        <c:axId val="1987857263"/>
      </c:barChart>
      <c:catAx>
        <c:axId val="198785185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857263"/>
        <c:crosses val="autoZero"/>
        <c:auto val="1"/>
        <c:lblAlgn val="ctr"/>
        <c:lblOffset val="100"/>
        <c:noMultiLvlLbl val="0"/>
      </c:catAx>
      <c:valAx>
        <c:axId val="1987857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Total Sales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85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Sales High vs 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Sales Category+Visual'!$S$2:$T$2</c:f>
              <c:strCache>
                <c:ptCount val="2"/>
                <c:pt idx="0">
                  <c:v>High</c:v>
                </c:pt>
                <c:pt idx="1">
                  <c:v>Low</c:v>
                </c:pt>
              </c:strCache>
            </c:strRef>
          </c:cat>
          <c:val>
            <c:numRef>
              <c:f>'Total Sales Category+Visual'!$S$3:$T$3</c:f>
              <c:numCache>
                <c:formatCode>_(* #,##0_);_(* \(#,##0\);_(* "-"_);_(@_)</c:formatCode>
                <c:ptCount val="2"/>
                <c:pt idx="0">
                  <c:v>12205000</c:v>
                </c:pt>
                <c:pt idx="1">
                  <c:v>1800000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7-476B-9211-3A63A95FC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713908</xdr:colOff>
      <xdr:row>23</xdr:row>
      <xdr:rowOff>50800</xdr:rowOff>
    </xdr:from>
    <xdr:to>
      <xdr:col>15</xdr:col>
      <xdr:colOff>1206500</xdr:colOff>
      <xdr:row>37</xdr:row>
      <xdr:rowOff>31586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832AFC8-C8E0-4877-B1C0-2DB07759B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32445</xdr:colOff>
      <xdr:row>6</xdr:row>
      <xdr:rowOff>113069</xdr:rowOff>
    </xdr:from>
    <xdr:to>
      <xdr:col>15</xdr:col>
      <xdr:colOff>800504</xdr:colOff>
      <xdr:row>22</xdr:row>
      <xdr:rowOff>5153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A95A74B-5088-479F-9D24-541093D425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20484</xdr:colOff>
      <xdr:row>23</xdr:row>
      <xdr:rowOff>184353</xdr:rowOff>
    </xdr:from>
    <xdr:to>
      <xdr:col>18</xdr:col>
      <xdr:colOff>1123131</xdr:colOff>
      <xdr:row>45</xdr:row>
      <xdr:rowOff>50131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E2D6DEF-BB21-4754-8E0D-A0692068B7A6}"/>
            </a:ext>
          </a:extLst>
        </xdr:cNvPr>
        <xdr:cNvSpPr txBox="1"/>
      </xdr:nvSpPr>
      <xdr:spPr>
        <a:xfrm>
          <a:off x="13819201" y="4508202"/>
          <a:ext cx="3308437" cy="40016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ID" sz="1100" b="1" i="1" u="sng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ID" sz="1100" b="1" i="1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 Sales</a:t>
          </a:r>
          <a:r>
            <a:rPr lang="en-ID" sz="1100" b="1" i="1" u="sng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per Category</a:t>
          </a:r>
          <a:endParaRPr lang="en-ID" sz="1100" b="1" i="1" u="sng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ID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Kategori dengan pembelian</a:t>
          </a:r>
          <a:r>
            <a:rPr lang="en-ID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D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tertinggi berasal dari kategori footwear,</a:t>
          </a:r>
          <a:r>
            <a:rPr lang="en-ID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dan yang terendah dari kategori electronics</a:t>
          </a:r>
        </a:p>
        <a:p>
          <a:pPr algn="ctr"/>
          <a:endParaRPr lang="en-ID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ID" sz="1100" b="1" i="1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 Sales</a:t>
          </a:r>
          <a:r>
            <a:rPr lang="en-ID" sz="1100" b="1" i="1" u="sng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Over Time</a:t>
          </a:r>
          <a:endParaRPr lang="en-ID" sz="1100" b="1" i="1" u="sng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ID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 sales tertinggi berada di bulan januari tanggal 01 dan 25 2024 dengan total 750,000</a:t>
          </a:r>
          <a:r>
            <a:rPr lang="en-ID"/>
            <a:t> </a:t>
          </a:r>
        </a:p>
        <a:p>
          <a:pPr algn="ctr"/>
          <a:endParaRPr lang="en-ID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ID" sz="1100" b="1" i="1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</a:t>
          </a:r>
          <a:r>
            <a:rPr lang="en-ID" sz="1100" b="1" i="1" u="sng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Sales per Region</a:t>
          </a:r>
          <a:endParaRPr lang="en-ID" sz="1100" b="1" i="1" u="sng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ID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Daerah East memiliki penjualan terbanyak dibandingkan daerah lain,</a:t>
          </a:r>
          <a:r>
            <a:rPr lang="en-ID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diikuti daerah West dan South, dan yang paling rendah daerah North. </a:t>
          </a:r>
        </a:p>
        <a:p>
          <a:pPr algn="ctr"/>
          <a:endParaRPr lang="en-ID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ID" sz="1100" b="1" i="1" u="sng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Sales High vs Low</a:t>
          </a:r>
        </a:p>
        <a:p>
          <a:pPr algn="ctr"/>
          <a:r>
            <a:rPr lang="en-ID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Dari hasil grafik, penjualan dengan harga tinggi "High" lebih banyak dibanding harga Low. Dengan artian, pelanggan banyak me-repuchase barang dengan harga tinggi atau mereka melakukan bulk buying (pembelian banyak barang sekaligus)</a:t>
          </a:r>
          <a:endParaRPr lang="en-ID" sz="1100" b="0" i="0" u="none"/>
        </a:p>
      </xdr:txBody>
    </xdr:sp>
    <xdr:clientData/>
  </xdr:twoCellAnchor>
  <xdr:twoCellAnchor>
    <xdr:from>
      <xdr:col>15</xdr:col>
      <xdr:colOff>1037980</xdr:colOff>
      <xdr:row>7</xdr:row>
      <xdr:rowOff>48846</xdr:rowOff>
    </xdr:from>
    <xdr:to>
      <xdr:col>20</xdr:col>
      <xdr:colOff>49259</xdr:colOff>
      <xdr:row>21</xdr:row>
      <xdr:rowOff>36315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4A3597F-17F6-43CB-AEC2-138D2E1C76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300897</xdr:colOff>
      <xdr:row>7</xdr:row>
      <xdr:rowOff>51562</xdr:rowOff>
    </xdr:from>
    <xdr:to>
      <xdr:col>27</xdr:col>
      <xdr:colOff>596260</xdr:colOff>
      <xdr:row>21</xdr:row>
      <xdr:rowOff>59376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FE34586-A270-4FD5-A416-B08C2088E6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10FD0-009A-4A0B-BA52-C0ECC91B2285}">
  <sheetPr codeName="Sheet2"/>
  <dimension ref="A1:I52"/>
  <sheetViews>
    <sheetView topLeftCell="A7" workbookViewId="0">
      <selection activeCell="I20" sqref="I20"/>
    </sheetView>
  </sheetViews>
  <sheetFormatPr defaultRowHeight="15" x14ac:dyDescent="0.25"/>
  <sheetData>
    <row r="1" spans="1:1" x14ac:dyDescent="0.25">
      <c r="A1" t="s">
        <v>52</v>
      </c>
    </row>
    <row r="2" spans="1:1" x14ac:dyDescent="0.25">
      <c r="A2" t="s">
        <v>51</v>
      </c>
    </row>
    <row r="3" spans="1:1" x14ac:dyDescent="0.25">
      <c r="A3" t="s">
        <v>50</v>
      </c>
    </row>
    <row r="4" spans="1:1" x14ac:dyDescent="0.25">
      <c r="A4" t="s">
        <v>49</v>
      </c>
    </row>
    <row r="5" spans="1:1" x14ac:dyDescent="0.25">
      <c r="A5" t="s">
        <v>48</v>
      </c>
    </row>
    <row r="6" spans="1:1" x14ac:dyDescent="0.25">
      <c r="A6" t="s">
        <v>47</v>
      </c>
    </row>
    <row r="7" spans="1:1" x14ac:dyDescent="0.25">
      <c r="A7" t="s">
        <v>47</v>
      </c>
    </row>
    <row r="8" spans="1:1" x14ac:dyDescent="0.25">
      <c r="A8" t="s">
        <v>46</v>
      </c>
    </row>
    <row r="9" spans="1:1" x14ac:dyDescent="0.25">
      <c r="A9" t="s">
        <v>45</v>
      </c>
    </row>
    <row r="10" spans="1:1" x14ac:dyDescent="0.25">
      <c r="A10" t="s">
        <v>44</v>
      </c>
    </row>
    <row r="11" spans="1:1" x14ac:dyDescent="0.25">
      <c r="A11" t="s">
        <v>43</v>
      </c>
    </row>
    <row r="12" spans="1:1" x14ac:dyDescent="0.25">
      <c r="A12" t="s">
        <v>42</v>
      </c>
    </row>
    <row r="13" spans="1:1" x14ac:dyDescent="0.25">
      <c r="A13" t="s">
        <v>41</v>
      </c>
    </row>
    <row r="14" spans="1:1" x14ac:dyDescent="0.25">
      <c r="A14" t="s">
        <v>40</v>
      </c>
    </row>
    <row r="15" spans="1:1" x14ac:dyDescent="0.25">
      <c r="A15" t="s">
        <v>39</v>
      </c>
    </row>
    <row r="16" spans="1:1" x14ac:dyDescent="0.25">
      <c r="A16" t="s">
        <v>38</v>
      </c>
    </row>
    <row r="17" spans="1:9" x14ac:dyDescent="0.25">
      <c r="A17" t="s">
        <v>37</v>
      </c>
    </row>
    <row r="18" spans="1:9" x14ac:dyDescent="0.25">
      <c r="A18" t="s">
        <v>36</v>
      </c>
      <c r="I18" t="s">
        <v>35</v>
      </c>
    </row>
    <row r="19" spans="1:9" x14ac:dyDescent="0.25">
      <c r="A19" t="s">
        <v>34</v>
      </c>
      <c r="I19" t="s">
        <v>33</v>
      </c>
    </row>
    <row r="20" spans="1:9" x14ac:dyDescent="0.25">
      <c r="A20" t="s">
        <v>32</v>
      </c>
    </row>
    <row r="21" spans="1:9" x14ac:dyDescent="0.25">
      <c r="A21" t="s">
        <v>31</v>
      </c>
    </row>
    <row r="22" spans="1:9" x14ac:dyDescent="0.25">
      <c r="A22" t="s">
        <v>30</v>
      </c>
    </row>
    <row r="23" spans="1:9" x14ac:dyDescent="0.25">
      <c r="A23" t="s">
        <v>29</v>
      </c>
    </row>
    <row r="24" spans="1:9" x14ac:dyDescent="0.25">
      <c r="A24" t="s">
        <v>28</v>
      </c>
    </row>
    <row r="25" spans="1:9" x14ac:dyDescent="0.25">
      <c r="A25" t="s">
        <v>27</v>
      </c>
    </row>
    <row r="26" spans="1:9" x14ac:dyDescent="0.25">
      <c r="A26" t="s">
        <v>26</v>
      </c>
    </row>
    <row r="27" spans="1:9" x14ac:dyDescent="0.25">
      <c r="A27" t="s">
        <v>25</v>
      </c>
    </row>
    <row r="28" spans="1:9" x14ac:dyDescent="0.25">
      <c r="A28" t="s">
        <v>24</v>
      </c>
    </row>
    <row r="29" spans="1:9" x14ac:dyDescent="0.25">
      <c r="A29" t="s">
        <v>23</v>
      </c>
    </row>
    <row r="30" spans="1:9" x14ac:dyDescent="0.25">
      <c r="A30" t="s">
        <v>22</v>
      </c>
    </row>
    <row r="31" spans="1:9" x14ac:dyDescent="0.25">
      <c r="A31" t="s">
        <v>21</v>
      </c>
    </row>
    <row r="32" spans="1:9" x14ac:dyDescent="0.25">
      <c r="A32" t="s">
        <v>20</v>
      </c>
    </row>
    <row r="33" spans="1:1" x14ac:dyDescent="0.25">
      <c r="A33" t="s">
        <v>19</v>
      </c>
    </row>
    <row r="34" spans="1:1" x14ac:dyDescent="0.25">
      <c r="A34" t="s">
        <v>18</v>
      </c>
    </row>
    <row r="35" spans="1:1" x14ac:dyDescent="0.25">
      <c r="A35" t="s">
        <v>17</v>
      </c>
    </row>
    <row r="36" spans="1:1" x14ac:dyDescent="0.25">
      <c r="A36" t="s">
        <v>16</v>
      </c>
    </row>
    <row r="37" spans="1:1" x14ac:dyDescent="0.25">
      <c r="A37" t="s">
        <v>15</v>
      </c>
    </row>
    <row r="38" spans="1:1" x14ac:dyDescent="0.25">
      <c r="A38" t="s">
        <v>14</v>
      </c>
    </row>
    <row r="39" spans="1:1" x14ac:dyDescent="0.25">
      <c r="A39" t="s">
        <v>13</v>
      </c>
    </row>
    <row r="40" spans="1:1" x14ac:dyDescent="0.25">
      <c r="A40" t="s">
        <v>12</v>
      </c>
    </row>
    <row r="41" spans="1:1" x14ac:dyDescent="0.25">
      <c r="A41" t="s">
        <v>11</v>
      </c>
    </row>
    <row r="42" spans="1:1" x14ac:dyDescent="0.25">
      <c r="A42" t="s">
        <v>10</v>
      </c>
    </row>
    <row r="43" spans="1:1" x14ac:dyDescent="0.25">
      <c r="A43" t="s">
        <v>9</v>
      </c>
    </row>
    <row r="44" spans="1:1" x14ac:dyDescent="0.25">
      <c r="A44" t="s">
        <v>8</v>
      </c>
    </row>
    <row r="45" spans="1:1" x14ac:dyDescent="0.25">
      <c r="A45" t="s">
        <v>7</v>
      </c>
    </row>
    <row r="46" spans="1:1" x14ac:dyDescent="0.25">
      <c r="A46" t="s">
        <v>6</v>
      </c>
    </row>
    <row r="47" spans="1:1" x14ac:dyDescent="0.25">
      <c r="A47" t="s">
        <v>5</v>
      </c>
    </row>
    <row r="48" spans="1:1" x14ac:dyDescent="0.25">
      <c r="A48" t="s">
        <v>4</v>
      </c>
    </row>
    <row r="49" spans="1:1" x14ac:dyDescent="0.25">
      <c r="A49" t="s">
        <v>3</v>
      </c>
    </row>
    <row r="50" spans="1:1" x14ac:dyDescent="0.25">
      <c r="A50" t="s">
        <v>2</v>
      </c>
    </row>
    <row r="51" spans="1:1" x14ac:dyDescent="0.25">
      <c r="A51" t="s">
        <v>1</v>
      </c>
    </row>
    <row r="52" spans="1:1" x14ac:dyDescent="0.25">
      <c r="A52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1FCAC-D21E-44A3-A042-E857F4520A59}">
  <sheetPr codeName="Sheet4"/>
  <dimension ref="A1:W57"/>
  <sheetViews>
    <sheetView tabSelected="1" zoomScale="80" workbookViewId="0">
      <pane ySplit="1" topLeftCell="A10" activePane="bottomLeft" state="frozen"/>
      <selection pane="bottomLeft" activeCell="AD16" sqref="AD16"/>
    </sheetView>
  </sheetViews>
  <sheetFormatPr defaultRowHeight="15" x14ac:dyDescent="0.25"/>
  <cols>
    <col min="1" max="1" width="9.28515625" bestFit="1" customWidth="1"/>
    <col min="2" max="2" width="11.5703125" bestFit="1" customWidth="1"/>
    <col min="3" max="3" width="12.140625" bestFit="1" customWidth="1"/>
    <col min="4" max="4" width="11.28515625" bestFit="1" customWidth="1"/>
    <col min="5" max="5" width="4.7109375" bestFit="1" customWidth="1"/>
    <col min="6" max="6" width="10.28515625" bestFit="1" customWidth="1"/>
    <col min="7" max="7" width="11.140625" bestFit="1" customWidth="1"/>
    <col min="8" max="8" width="7.28515625" bestFit="1" customWidth="1"/>
    <col min="9" max="9" width="14.28515625" bestFit="1" customWidth="1"/>
    <col min="10" max="10" width="13.28515625" bestFit="1" customWidth="1"/>
    <col min="11" max="11" width="14.28515625" bestFit="1" customWidth="1"/>
    <col min="12" max="12" width="16.42578125" bestFit="1" customWidth="1"/>
    <col min="13" max="13" width="19.28515625" bestFit="1" customWidth="1"/>
    <col min="14" max="14" width="15.28515625" bestFit="1" customWidth="1"/>
    <col min="15" max="15" width="14.140625" bestFit="1" customWidth="1"/>
    <col min="16" max="16" width="23.140625" bestFit="1" customWidth="1"/>
    <col min="17" max="17" width="12.140625" bestFit="1" customWidth="1"/>
    <col min="18" max="18" width="21.140625" bestFit="1" customWidth="1"/>
    <col min="19" max="19" width="16.85546875" bestFit="1" customWidth="1"/>
    <col min="20" max="20" width="11" bestFit="1" customWidth="1"/>
    <col min="23" max="23" width="1.5703125" bestFit="1" customWidth="1"/>
  </cols>
  <sheetData>
    <row r="1" spans="1:23" x14ac:dyDescent="0.25">
      <c r="A1" s="1" t="s">
        <v>87</v>
      </c>
      <c r="B1" s="1" t="s">
        <v>86</v>
      </c>
      <c r="C1" s="1" t="s">
        <v>85</v>
      </c>
      <c r="D1" s="1" t="s">
        <v>84</v>
      </c>
      <c r="E1" s="1" t="s">
        <v>83</v>
      </c>
      <c r="F1" s="1" t="s">
        <v>82</v>
      </c>
      <c r="G1" s="1" t="s">
        <v>81</v>
      </c>
      <c r="H1" s="1" t="s">
        <v>80</v>
      </c>
      <c r="I1" s="1" t="s">
        <v>79</v>
      </c>
      <c r="J1" s="1" t="s">
        <v>78</v>
      </c>
      <c r="K1" s="1" t="s">
        <v>77</v>
      </c>
      <c r="L1" s="1" t="s">
        <v>76</v>
      </c>
      <c r="M1" s="1" t="s">
        <v>75</v>
      </c>
      <c r="N1" s="1" t="s">
        <v>74</v>
      </c>
      <c r="O1" s="1" t="s">
        <v>73</v>
      </c>
      <c r="P1" s="1" t="s">
        <v>72</v>
      </c>
      <c r="Q1" s="1" t="s">
        <v>88</v>
      </c>
      <c r="R1" s="1" t="s">
        <v>89</v>
      </c>
      <c r="S1" s="1" t="s">
        <v>90</v>
      </c>
    </row>
    <row r="2" spans="1:23" x14ac:dyDescent="0.25">
      <c r="A2">
        <v>1001</v>
      </c>
      <c r="B2" s="2">
        <v>45292</v>
      </c>
      <c r="C2" t="s">
        <v>65</v>
      </c>
      <c r="D2" t="s">
        <v>60</v>
      </c>
      <c r="E2">
        <v>3</v>
      </c>
      <c r="F2">
        <v>75000</v>
      </c>
      <c r="G2">
        <f t="shared" ref="G2:G33" si="0">E2*F2</f>
        <v>225000</v>
      </c>
      <c r="H2" t="s">
        <v>56</v>
      </c>
      <c r="I2" t="str">
        <f t="shared" ref="I2:I33" si="1">PROPER(TRIM(C2))</f>
        <v>T-Shirt</v>
      </c>
      <c r="J2" t="str">
        <f t="shared" ref="J2:J33" si="2">UPPER(H2)</f>
        <v>EAST</v>
      </c>
      <c r="K2" t="str">
        <f t="shared" ref="K2:K33" si="3">IF(G2&gt;=200000,"High","Low")</f>
        <v>High</v>
      </c>
      <c r="L2">
        <f>SUM(G2:G52)</f>
        <v>14005000</v>
      </c>
      <c r="M2">
        <f>AVERAGE(G2:G52)</f>
        <v>274607.84313725488</v>
      </c>
      <c r="N2">
        <f>COUNT(A2:A52)</f>
        <v>51</v>
      </c>
      <c r="O2" t="str" cm="1">
        <f t="array" ref="O2:O5">_xlfn.UNIQUE(D2:D52,FALSE)</f>
        <v>Apparel</v>
      </c>
      <c r="P2" s="3">
        <f>SUMIF(D2:D52,"Apparel",G2:G52)</f>
        <v>4200000</v>
      </c>
      <c r="Q2" t="str" cm="1">
        <f t="array" ref="Q2:Q5">_xlfn.UNIQUE(J2:J52,FALSE)</f>
        <v>EAST</v>
      </c>
      <c r="R2" s="3">
        <f>SUMIF(J2:J52,"EAST",G2:G52)</f>
        <v>3360000</v>
      </c>
      <c r="S2" s="1" t="s">
        <v>91</v>
      </c>
      <c r="T2" s="1" t="s">
        <v>92</v>
      </c>
      <c r="W2" t="s">
        <v>93</v>
      </c>
    </row>
    <row r="3" spans="1:23" x14ac:dyDescent="0.25">
      <c r="A3">
        <v>1002</v>
      </c>
      <c r="B3" s="2">
        <v>45293</v>
      </c>
      <c r="C3" t="s">
        <v>64</v>
      </c>
      <c r="D3" t="s">
        <v>63</v>
      </c>
      <c r="E3">
        <v>2</v>
      </c>
      <c r="F3">
        <v>250000</v>
      </c>
      <c r="G3">
        <f t="shared" si="0"/>
        <v>500000</v>
      </c>
      <c r="H3" t="s">
        <v>62</v>
      </c>
      <c r="I3" t="str">
        <f t="shared" si="1"/>
        <v>Shoes</v>
      </c>
      <c r="J3" t="str">
        <f t="shared" si="2"/>
        <v>WEST</v>
      </c>
      <c r="K3" t="str">
        <f t="shared" si="3"/>
        <v>High</v>
      </c>
      <c r="O3" t="str">
        <v>Footwear</v>
      </c>
      <c r="P3" s="3">
        <f>SUMIF(D2:D52,"Footwear",G2:G52)</f>
        <v>5000000</v>
      </c>
      <c r="Q3" t="str">
        <v>WEST</v>
      </c>
      <c r="R3" s="3">
        <f t="shared" ref="R3:R5" si="4">SUMIF(J3:J53,"EAST",G3:G53)</f>
        <v>3135000</v>
      </c>
      <c r="S3" s="3">
        <f>SUMIF(K2:K52,"High",G2:G52)</f>
        <v>12205000</v>
      </c>
      <c r="T3" s="3">
        <f>SUMIF(K2:K52,"Low",G2:G52)</f>
        <v>1800000</v>
      </c>
    </row>
    <row r="4" spans="1:23" x14ac:dyDescent="0.25">
      <c r="A4">
        <v>1003</v>
      </c>
      <c r="B4" s="2">
        <v>45292</v>
      </c>
      <c r="C4" t="s">
        <v>58</v>
      </c>
      <c r="D4" t="s">
        <v>57</v>
      </c>
      <c r="E4">
        <v>5</v>
      </c>
      <c r="F4">
        <v>45000</v>
      </c>
      <c r="G4">
        <f t="shared" si="0"/>
        <v>225000</v>
      </c>
      <c r="H4" t="s">
        <v>56</v>
      </c>
      <c r="I4" t="str">
        <f t="shared" si="1"/>
        <v>Cap</v>
      </c>
      <c r="J4" t="str">
        <f t="shared" si="2"/>
        <v>EAST</v>
      </c>
      <c r="K4" t="str">
        <f t="shared" si="3"/>
        <v>High</v>
      </c>
      <c r="O4" t="str">
        <v>Accessories</v>
      </c>
      <c r="P4" s="3">
        <f>SUMIF(D2:D52,"Accessories",G2:G52)</f>
        <v>2805000</v>
      </c>
      <c r="Q4" t="str">
        <v>SOUTH</v>
      </c>
      <c r="R4" s="3">
        <f t="shared" si="4"/>
        <v>3135000</v>
      </c>
    </row>
    <row r="5" spans="1:23" x14ac:dyDescent="0.25">
      <c r="A5">
        <v>1004</v>
      </c>
      <c r="B5" s="2">
        <v>45294</v>
      </c>
      <c r="C5" t="s">
        <v>61</v>
      </c>
      <c r="D5" t="s">
        <v>60</v>
      </c>
      <c r="E5">
        <v>1</v>
      </c>
      <c r="F5">
        <v>150000</v>
      </c>
      <c r="G5">
        <f t="shared" si="0"/>
        <v>150000</v>
      </c>
      <c r="H5" t="s">
        <v>59</v>
      </c>
      <c r="I5" t="str">
        <f t="shared" si="1"/>
        <v>Jacket</v>
      </c>
      <c r="J5" t="str">
        <f t="shared" si="2"/>
        <v>SOUTH</v>
      </c>
      <c r="K5" t="str">
        <f t="shared" si="3"/>
        <v>Low</v>
      </c>
      <c r="O5" t="str">
        <v>Electronics</v>
      </c>
      <c r="P5" s="3">
        <f>SUMIF(D2:D52,"Electronics",G2:G52)</f>
        <v>2000000</v>
      </c>
      <c r="Q5" t="str">
        <v>NORTH</v>
      </c>
      <c r="R5" s="3">
        <f t="shared" si="4"/>
        <v>2910000</v>
      </c>
    </row>
    <row r="6" spans="1:23" x14ac:dyDescent="0.25">
      <c r="A6">
        <v>1005</v>
      </c>
      <c r="B6" s="2">
        <v>45294</v>
      </c>
      <c r="C6" t="s">
        <v>64</v>
      </c>
      <c r="D6" t="s">
        <v>63</v>
      </c>
      <c r="E6">
        <v>2</v>
      </c>
      <c r="F6">
        <v>250000</v>
      </c>
      <c r="G6">
        <f t="shared" si="0"/>
        <v>500000</v>
      </c>
      <c r="H6" t="s">
        <v>62</v>
      </c>
      <c r="I6" t="str">
        <f t="shared" si="1"/>
        <v>Shoes</v>
      </c>
      <c r="J6" t="str">
        <f t="shared" si="2"/>
        <v>WEST</v>
      </c>
      <c r="K6" t="str">
        <f t="shared" si="3"/>
        <v>High</v>
      </c>
    </row>
    <row r="7" spans="1:23" x14ac:dyDescent="0.25">
      <c r="A7">
        <v>1005</v>
      </c>
      <c r="B7" s="2">
        <v>45294</v>
      </c>
      <c r="C7" t="s">
        <v>64</v>
      </c>
      <c r="D7" t="s">
        <v>63</v>
      </c>
      <c r="E7">
        <v>2</v>
      </c>
      <c r="F7">
        <v>250000</v>
      </c>
      <c r="G7">
        <f t="shared" si="0"/>
        <v>500000</v>
      </c>
      <c r="H7" t="s">
        <v>62</v>
      </c>
      <c r="I7" t="str">
        <f t="shared" si="1"/>
        <v>Shoes</v>
      </c>
      <c r="J7" t="str">
        <f t="shared" si="2"/>
        <v>WEST</v>
      </c>
      <c r="K7" t="str">
        <f t="shared" si="3"/>
        <v>High</v>
      </c>
    </row>
    <row r="8" spans="1:23" x14ac:dyDescent="0.25">
      <c r="A8">
        <v>1006</v>
      </c>
      <c r="B8" s="2">
        <v>45295</v>
      </c>
      <c r="C8" t="s">
        <v>55</v>
      </c>
      <c r="D8" t="s">
        <v>54</v>
      </c>
      <c r="E8">
        <v>1</v>
      </c>
      <c r="F8">
        <v>200000</v>
      </c>
      <c r="G8">
        <f t="shared" si="0"/>
        <v>200000</v>
      </c>
      <c r="H8" t="s">
        <v>53</v>
      </c>
      <c r="I8" t="str">
        <f t="shared" si="1"/>
        <v>Headphones</v>
      </c>
      <c r="J8" t="str">
        <f t="shared" si="2"/>
        <v>NORTH</v>
      </c>
      <c r="K8" t="str">
        <f t="shared" si="3"/>
        <v>High</v>
      </c>
      <c r="S8" s="1"/>
    </row>
    <row r="9" spans="1:23" x14ac:dyDescent="0.25">
      <c r="A9">
        <v>1007</v>
      </c>
      <c r="B9" s="2">
        <v>45296</v>
      </c>
      <c r="C9" t="s">
        <v>67</v>
      </c>
      <c r="D9" t="s">
        <v>60</v>
      </c>
      <c r="E9">
        <v>4</v>
      </c>
      <c r="F9">
        <v>75000</v>
      </c>
      <c r="G9">
        <f t="shared" si="0"/>
        <v>300000</v>
      </c>
      <c r="H9" t="s">
        <v>71</v>
      </c>
      <c r="I9" t="str">
        <f t="shared" si="1"/>
        <v>T-Shirt</v>
      </c>
      <c r="J9" t="str">
        <f t="shared" si="2"/>
        <v>EAST</v>
      </c>
      <c r="K9" t="str">
        <f t="shared" si="3"/>
        <v>High</v>
      </c>
    </row>
    <row r="10" spans="1:23" x14ac:dyDescent="0.25">
      <c r="A10">
        <v>1008</v>
      </c>
      <c r="B10" s="2">
        <v>45297</v>
      </c>
      <c r="C10" t="s">
        <v>58</v>
      </c>
      <c r="D10" t="s">
        <v>57</v>
      </c>
      <c r="E10">
        <v>0</v>
      </c>
      <c r="F10">
        <v>45000</v>
      </c>
      <c r="G10">
        <f t="shared" si="0"/>
        <v>0</v>
      </c>
      <c r="H10" t="s">
        <v>56</v>
      </c>
      <c r="I10" t="str">
        <f t="shared" si="1"/>
        <v>Cap</v>
      </c>
      <c r="J10" t="str">
        <f t="shared" si="2"/>
        <v>EAST</v>
      </c>
      <c r="K10" t="str">
        <f t="shared" si="3"/>
        <v>Low</v>
      </c>
    </row>
    <row r="11" spans="1:23" x14ac:dyDescent="0.25">
      <c r="A11">
        <v>1009</v>
      </c>
      <c r="B11" s="2">
        <v>45297</v>
      </c>
      <c r="C11" t="s">
        <v>66</v>
      </c>
      <c r="D11" t="s">
        <v>57</v>
      </c>
      <c r="E11">
        <v>2</v>
      </c>
      <c r="F11">
        <v>120000</v>
      </c>
      <c r="G11">
        <f t="shared" si="0"/>
        <v>240000</v>
      </c>
      <c r="H11" t="s">
        <v>59</v>
      </c>
      <c r="I11" t="str">
        <f t="shared" si="1"/>
        <v>Bag</v>
      </c>
      <c r="J11" t="str">
        <f t="shared" si="2"/>
        <v>SOUTH</v>
      </c>
      <c r="K11" t="str">
        <f t="shared" si="3"/>
        <v>High</v>
      </c>
    </row>
    <row r="12" spans="1:23" x14ac:dyDescent="0.25">
      <c r="A12">
        <v>1010</v>
      </c>
      <c r="B12" s="2">
        <v>45298</v>
      </c>
      <c r="C12" t="s">
        <v>61</v>
      </c>
      <c r="D12" t="s">
        <v>60</v>
      </c>
      <c r="E12">
        <v>2</v>
      </c>
      <c r="F12">
        <v>150000</v>
      </c>
      <c r="G12">
        <f t="shared" si="0"/>
        <v>300000</v>
      </c>
      <c r="H12" t="s">
        <v>62</v>
      </c>
      <c r="I12" t="str">
        <f t="shared" si="1"/>
        <v>Jacket</v>
      </c>
      <c r="J12" t="str">
        <f t="shared" si="2"/>
        <v>WEST</v>
      </c>
      <c r="K12" t="str">
        <f t="shared" si="3"/>
        <v>High</v>
      </c>
    </row>
    <row r="13" spans="1:23" x14ac:dyDescent="0.25">
      <c r="A13">
        <v>1011</v>
      </c>
      <c r="B13" s="2">
        <v>45298</v>
      </c>
      <c r="C13" t="s">
        <v>64</v>
      </c>
      <c r="D13" t="s">
        <v>63</v>
      </c>
      <c r="E13">
        <v>3</v>
      </c>
      <c r="F13">
        <v>250000</v>
      </c>
      <c r="G13">
        <f t="shared" si="0"/>
        <v>750000</v>
      </c>
      <c r="H13" t="s">
        <v>62</v>
      </c>
      <c r="I13" t="str">
        <f t="shared" si="1"/>
        <v>Shoes</v>
      </c>
      <c r="J13" t="str">
        <f t="shared" si="2"/>
        <v>WEST</v>
      </c>
      <c r="K13" t="str">
        <f t="shared" si="3"/>
        <v>High</v>
      </c>
    </row>
    <row r="14" spans="1:23" x14ac:dyDescent="0.25">
      <c r="A14">
        <v>1012</v>
      </c>
      <c r="B14" s="2">
        <v>45299</v>
      </c>
      <c r="C14" t="s">
        <v>70</v>
      </c>
      <c r="D14" t="s">
        <v>60</v>
      </c>
      <c r="E14">
        <v>5</v>
      </c>
      <c r="F14">
        <v>75000</v>
      </c>
      <c r="G14">
        <f t="shared" si="0"/>
        <v>375000</v>
      </c>
      <c r="H14" t="s">
        <v>53</v>
      </c>
      <c r="I14" t="str">
        <f t="shared" si="1"/>
        <v>T-Shirt</v>
      </c>
      <c r="J14" t="str">
        <f t="shared" si="2"/>
        <v>NORTH</v>
      </c>
      <c r="K14" t="str">
        <f t="shared" si="3"/>
        <v>High</v>
      </c>
    </row>
    <row r="15" spans="1:23" x14ac:dyDescent="0.25">
      <c r="A15">
        <v>1013</v>
      </c>
      <c r="B15" s="2">
        <v>45299</v>
      </c>
      <c r="C15" t="s">
        <v>58</v>
      </c>
      <c r="D15" t="s">
        <v>57</v>
      </c>
      <c r="E15">
        <v>4</v>
      </c>
      <c r="F15">
        <v>45000</v>
      </c>
      <c r="G15">
        <f t="shared" si="0"/>
        <v>180000</v>
      </c>
      <c r="H15" t="s">
        <v>56</v>
      </c>
      <c r="I15" t="str">
        <f t="shared" si="1"/>
        <v>Cap</v>
      </c>
      <c r="J15" t="str">
        <f t="shared" si="2"/>
        <v>EAST</v>
      </c>
      <c r="K15" t="str">
        <f t="shared" si="3"/>
        <v>Low</v>
      </c>
    </row>
    <row r="16" spans="1:23" x14ac:dyDescent="0.25">
      <c r="A16">
        <v>1014</v>
      </c>
      <c r="B16" s="2">
        <v>45300</v>
      </c>
      <c r="C16" t="s">
        <v>55</v>
      </c>
      <c r="D16" t="s">
        <v>54</v>
      </c>
      <c r="E16">
        <v>1</v>
      </c>
      <c r="F16">
        <v>200000</v>
      </c>
      <c r="G16">
        <f t="shared" si="0"/>
        <v>200000</v>
      </c>
      <c r="H16" t="s">
        <v>59</v>
      </c>
      <c r="I16" t="str">
        <f t="shared" si="1"/>
        <v>Headphones</v>
      </c>
      <c r="J16" t="str">
        <f t="shared" si="2"/>
        <v>SOUTH</v>
      </c>
      <c r="K16" t="str">
        <f t="shared" si="3"/>
        <v>High</v>
      </c>
    </row>
    <row r="17" spans="1:11" x14ac:dyDescent="0.25">
      <c r="A17">
        <v>1015</v>
      </c>
      <c r="B17" s="2">
        <v>45300</v>
      </c>
      <c r="C17" t="s">
        <v>66</v>
      </c>
      <c r="D17" t="s">
        <v>57</v>
      </c>
      <c r="E17">
        <v>2</v>
      </c>
      <c r="F17">
        <v>120000</v>
      </c>
      <c r="G17">
        <f t="shared" si="0"/>
        <v>240000</v>
      </c>
      <c r="H17" t="s">
        <v>59</v>
      </c>
      <c r="I17" t="str">
        <f t="shared" si="1"/>
        <v>Bag</v>
      </c>
      <c r="J17" t="str">
        <f t="shared" si="2"/>
        <v>SOUTH</v>
      </c>
      <c r="K17" t="str">
        <f t="shared" si="3"/>
        <v>High</v>
      </c>
    </row>
    <row r="18" spans="1:11" x14ac:dyDescent="0.25">
      <c r="A18">
        <v>1016</v>
      </c>
      <c r="B18" s="2">
        <v>45301</v>
      </c>
      <c r="C18" t="s">
        <v>65</v>
      </c>
      <c r="D18" t="s">
        <v>60</v>
      </c>
      <c r="E18">
        <v>3</v>
      </c>
      <c r="F18">
        <v>75000</v>
      </c>
      <c r="G18">
        <f t="shared" si="0"/>
        <v>225000</v>
      </c>
      <c r="H18" t="s">
        <v>56</v>
      </c>
      <c r="I18" t="str">
        <f t="shared" si="1"/>
        <v>T-Shirt</v>
      </c>
      <c r="J18" t="str">
        <f t="shared" si="2"/>
        <v>EAST</v>
      </c>
      <c r="K18" t="str">
        <f t="shared" si="3"/>
        <v>High</v>
      </c>
    </row>
    <row r="19" spans="1:11" x14ac:dyDescent="0.25">
      <c r="A19">
        <v>1017</v>
      </c>
      <c r="B19" s="2">
        <v>45301</v>
      </c>
      <c r="C19" t="s">
        <v>64</v>
      </c>
      <c r="D19" t="s">
        <v>63</v>
      </c>
      <c r="E19">
        <v>1</v>
      </c>
      <c r="F19">
        <v>250000</v>
      </c>
      <c r="G19">
        <f t="shared" si="0"/>
        <v>250000</v>
      </c>
      <c r="H19" t="s">
        <v>62</v>
      </c>
      <c r="I19" t="str">
        <f t="shared" si="1"/>
        <v>Shoes</v>
      </c>
      <c r="J19" t="str">
        <f t="shared" si="2"/>
        <v>WEST</v>
      </c>
      <c r="K19" t="str">
        <f t="shared" si="3"/>
        <v>High</v>
      </c>
    </row>
    <row r="20" spans="1:11" x14ac:dyDescent="0.25">
      <c r="A20">
        <v>1018</v>
      </c>
      <c r="B20" s="2">
        <v>45302</v>
      </c>
      <c r="C20" t="s">
        <v>61</v>
      </c>
      <c r="D20" t="s">
        <v>60</v>
      </c>
      <c r="E20">
        <v>2</v>
      </c>
      <c r="F20">
        <v>150000</v>
      </c>
      <c r="G20">
        <f t="shared" si="0"/>
        <v>300000</v>
      </c>
      <c r="H20" t="s">
        <v>69</v>
      </c>
      <c r="I20" t="str">
        <f t="shared" si="1"/>
        <v>Jacket</v>
      </c>
      <c r="J20" t="str">
        <f t="shared" si="2"/>
        <v>NORTH</v>
      </c>
      <c r="K20" t="str">
        <f t="shared" si="3"/>
        <v>High</v>
      </c>
    </row>
    <row r="21" spans="1:11" x14ac:dyDescent="0.25">
      <c r="A21">
        <v>1019</v>
      </c>
      <c r="B21" s="2">
        <v>45302</v>
      </c>
      <c r="C21" t="s">
        <v>58</v>
      </c>
      <c r="D21" t="s">
        <v>57</v>
      </c>
      <c r="E21">
        <v>3</v>
      </c>
      <c r="F21">
        <v>45000</v>
      </c>
      <c r="G21">
        <f t="shared" si="0"/>
        <v>135000</v>
      </c>
      <c r="H21" t="s">
        <v>56</v>
      </c>
      <c r="I21" t="str">
        <f t="shared" si="1"/>
        <v>Cap</v>
      </c>
      <c r="J21" t="str">
        <f t="shared" si="2"/>
        <v>EAST</v>
      </c>
      <c r="K21" t="str">
        <f t="shared" si="3"/>
        <v>Low</v>
      </c>
    </row>
    <row r="22" spans="1:11" x14ac:dyDescent="0.25">
      <c r="A22">
        <v>1020</v>
      </c>
      <c r="B22" s="2">
        <v>45303</v>
      </c>
      <c r="C22" t="s">
        <v>55</v>
      </c>
      <c r="D22" t="s">
        <v>54</v>
      </c>
      <c r="E22">
        <v>0</v>
      </c>
      <c r="F22">
        <v>200000</v>
      </c>
      <c r="G22">
        <f t="shared" si="0"/>
        <v>0</v>
      </c>
      <c r="H22" t="s">
        <v>59</v>
      </c>
      <c r="I22" t="str">
        <f t="shared" si="1"/>
        <v>Headphones</v>
      </c>
      <c r="J22" t="str">
        <f t="shared" si="2"/>
        <v>SOUTH</v>
      </c>
      <c r="K22" t="str">
        <f t="shared" si="3"/>
        <v>Low</v>
      </c>
    </row>
    <row r="23" spans="1:11" x14ac:dyDescent="0.25">
      <c r="A23">
        <v>1021</v>
      </c>
      <c r="B23" s="2">
        <v>45303</v>
      </c>
      <c r="C23" t="s">
        <v>66</v>
      </c>
      <c r="D23" t="s">
        <v>57</v>
      </c>
      <c r="E23">
        <v>1</v>
      </c>
      <c r="F23">
        <v>120000</v>
      </c>
      <c r="G23">
        <f t="shared" si="0"/>
        <v>120000</v>
      </c>
      <c r="H23" t="s">
        <v>62</v>
      </c>
      <c r="I23" t="str">
        <f t="shared" si="1"/>
        <v>Bag</v>
      </c>
      <c r="J23" t="str">
        <f t="shared" si="2"/>
        <v>WEST</v>
      </c>
      <c r="K23" t="str">
        <f t="shared" si="3"/>
        <v>Low</v>
      </c>
    </row>
    <row r="24" spans="1:11" x14ac:dyDescent="0.25">
      <c r="A24">
        <v>1022</v>
      </c>
      <c r="B24" s="2">
        <v>45304</v>
      </c>
      <c r="C24" t="s">
        <v>67</v>
      </c>
      <c r="D24" t="s">
        <v>60</v>
      </c>
      <c r="E24">
        <v>4</v>
      </c>
      <c r="F24">
        <v>75000</v>
      </c>
      <c r="G24">
        <f t="shared" si="0"/>
        <v>300000</v>
      </c>
      <c r="H24" t="s">
        <v>56</v>
      </c>
      <c r="I24" t="str">
        <f t="shared" si="1"/>
        <v>T-Shirt</v>
      </c>
      <c r="J24" t="str">
        <f t="shared" si="2"/>
        <v>EAST</v>
      </c>
      <c r="K24" t="str">
        <f t="shared" si="3"/>
        <v>High</v>
      </c>
    </row>
    <row r="25" spans="1:11" x14ac:dyDescent="0.25">
      <c r="A25">
        <v>1023</v>
      </c>
      <c r="B25" s="2">
        <v>45304</v>
      </c>
      <c r="C25" t="s">
        <v>64</v>
      </c>
      <c r="D25" t="s">
        <v>63</v>
      </c>
      <c r="E25">
        <v>2</v>
      </c>
      <c r="F25">
        <v>250000</v>
      </c>
      <c r="G25">
        <f t="shared" si="0"/>
        <v>500000</v>
      </c>
      <c r="H25" t="s">
        <v>62</v>
      </c>
      <c r="I25" t="str">
        <f t="shared" si="1"/>
        <v>Shoes</v>
      </c>
      <c r="J25" t="str">
        <f t="shared" si="2"/>
        <v>WEST</v>
      </c>
      <c r="K25" t="str">
        <f t="shared" si="3"/>
        <v>High</v>
      </c>
    </row>
    <row r="26" spans="1:11" x14ac:dyDescent="0.25">
      <c r="A26">
        <v>1024</v>
      </c>
      <c r="B26" s="2">
        <v>45292</v>
      </c>
      <c r="C26" t="s">
        <v>61</v>
      </c>
      <c r="D26" t="s">
        <v>60</v>
      </c>
      <c r="E26">
        <v>1</v>
      </c>
      <c r="F26">
        <v>150000</v>
      </c>
      <c r="G26">
        <f t="shared" si="0"/>
        <v>150000</v>
      </c>
      <c r="H26" t="s">
        <v>59</v>
      </c>
      <c r="I26" t="str">
        <f t="shared" si="1"/>
        <v>Jacket</v>
      </c>
      <c r="J26" t="str">
        <f t="shared" si="2"/>
        <v>SOUTH</v>
      </c>
      <c r="K26" t="str">
        <f t="shared" si="3"/>
        <v>Low</v>
      </c>
    </row>
    <row r="27" spans="1:11" x14ac:dyDescent="0.25">
      <c r="A27">
        <v>1025</v>
      </c>
      <c r="B27" s="2">
        <v>45305</v>
      </c>
      <c r="C27" t="s">
        <v>58</v>
      </c>
      <c r="D27" t="s">
        <v>57</v>
      </c>
      <c r="E27">
        <v>5</v>
      </c>
      <c r="F27">
        <v>45000</v>
      </c>
      <c r="G27">
        <f t="shared" si="0"/>
        <v>225000</v>
      </c>
      <c r="H27" t="s">
        <v>56</v>
      </c>
      <c r="I27" t="str">
        <f t="shared" si="1"/>
        <v>Cap</v>
      </c>
      <c r="J27" t="str">
        <f t="shared" si="2"/>
        <v>EAST</v>
      </c>
      <c r="K27" t="str">
        <f t="shared" si="3"/>
        <v>High</v>
      </c>
    </row>
    <row r="28" spans="1:11" x14ac:dyDescent="0.25">
      <c r="A28">
        <v>1026</v>
      </c>
      <c r="B28" s="2">
        <v>45305</v>
      </c>
      <c r="C28" t="s">
        <v>55</v>
      </c>
      <c r="D28" t="s">
        <v>54</v>
      </c>
      <c r="E28">
        <v>2</v>
      </c>
      <c r="F28">
        <v>200000</v>
      </c>
      <c r="G28">
        <f t="shared" si="0"/>
        <v>400000</v>
      </c>
      <c r="H28" t="s">
        <v>53</v>
      </c>
      <c r="I28" t="str">
        <f t="shared" si="1"/>
        <v>Headphones</v>
      </c>
      <c r="J28" t="str">
        <f t="shared" si="2"/>
        <v>NORTH</v>
      </c>
      <c r="K28" t="str">
        <f t="shared" si="3"/>
        <v>High</v>
      </c>
    </row>
    <row r="29" spans="1:11" x14ac:dyDescent="0.25">
      <c r="A29">
        <v>1027</v>
      </c>
      <c r="B29" s="2">
        <v>45306</v>
      </c>
      <c r="C29" t="s">
        <v>66</v>
      </c>
      <c r="D29" t="s">
        <v>57</v>
      </c>
      <c r="E29">
        <v>3</v>
      </c>
      <c r="F29">
        <v>120000</v>
      </c>
      <c r="G29">
        <f t="shared" si="0"/>
        <v>360000</v>
      </c>
      <c r="H29" t="s">
        <v>68</v>
      </c>
      <c r="I29" t="str">
        <f t="shared" si="1"/>
        <v>Bag</v>
      </c>
      <c r="J29" t="str">
        <f t="shared" si="2"/>
        <v>SOUTH</v>
      </c>
      <c r="K29" t="str">
        <f t="shared" si="3"/>
        <v>High</v>
      </c>
    </row>
    <row r="30" spans="1:11" x14ac:dyDescent="0.25">
      <c r="A30">
        <v>1028</v>
      </c>
      <c r="B30" s="2">
        <v>45306</v>
      </c>
      <c r="C30" t="s">
        <v>65</v>
      </c>
      <c r="D30" t="s">
        <v>60</v>
      </c>
      <c r="E30">
        <v>2</v>
      </c>
      <c r="F30">
        <v>75000</v>
      </c>
      <c r="G30">
        <f t="shared" si="0"/>
        <v>150000</v>
      </c>
      <c r="H30" t="s">
        <v>56</v>
      </c>
      <c r="I30" t="str">
        <f t="shared" si="1"/>
        <v>T-Shirt</v>
      </c>
      <c r="J30" t="str">
        <f t="shared" si="2"/>
        <v>EAST</v>
      </c>
      <c r="K30" t="str">
        <f t="shared" si="3"/>
        <v>Low</v>
      </c>
    </row>
    <row r="31" spans="1:11" x14ac:dyDescent="0.25">
      <c r="A31">
        <v>1029</v>
      </c>
      <c r="B31" s="2">
        <v>45307</v>
      </c>
      <c r="C31" t="s">
        <v>64</v>
      </c>
      <c r="D31" t="s">
        <v>63</v>
      </c>
      <c r="E31">
        <v>1</v>
      </c>
      <c r="F31">
        <v>250000</v>
      </c>
      <c r="G31">
        <f t="shared" si="0"/>
        <v>250000</v>
      </c>
      <c r="H31" t="s">
        <v>62</v>
      </c>
      <c r="I31" t="str">
        <f t="shared" si="1"/>
        <v>Shoes</v>
      </c>
      <c r="J31" t="str">
        <f t="shared" si="2"/>
        <v>WEST</v>
      </c>
      <c r="K31" t="str">
        <f t="shared" si="3"/>
        <v>High</v>
      </c>
    </row>
    <row r="32" spans="1:11" x14ac:dyDescent="0.25">
      <c r="A32">
        <v>1030</v>
      </c>
      <c r="B32" s="2">
        <v>45307</v>
      </c>
      <c r="C32" t="s">
        <v>61</v>
      </c>
      <c r="D32" t="s">
        <v>60</v>
      </c>
      <c r="E32">
        <v>3</v>
      </c>
      <c r="F32">
        <v>150000</v>
      </c>
      <c r="G32">
        <f t="shared" si="0"/>
        <v>450000</v>
      </c>
      <c r="H32" t="s">
        <v>59</v>
      </c>
      <c r="I32" t="str">
        <f t="shared" si="1"/>
        <v>Jacket</v>
      </c>
      <c r="J32" t="str">
        <f t="shared" si="2"/>
        <v>SOUTH</v>
      </c>
      <c r="K32" t="str">
        <f t="shared" si="3"/>
        <v>High</v>
      </c>
    </row>
    <row r="33" spans="1:11" x14ac:dyDescent="0.25">
      <c r="A33">
        <v>1031</v>
      </c>
      <c r="B33" s="2">
        <v>45308</v>
      </c>
      <c r="C33" t="s">
        <v>58</v>
      </c>
      <c r="D33" t="s">
        <v>57</v>
      </c>
      <c r="E33">
        <v>4</v>
      </c>
      <c r="F33">
        <v>45000</v>
      </c>
      <c r="G33">
        <f t="shared" si="0"/>
        <v>180000</v>
      </c>
      <c r="H33" t="s">
        <v>56</v>
      </c>
      <c r="I33" t="str">
        <f t="shared" si="1"/>
        <v>Cap</v>
      </c>
      <c r="J33" t="str">
        <f t="shared" si="2"/>
        <v>EAST</v>
      </c>
      <c r="K33" t="str">
        <f t="shared" si="3"/>
        <v>Low</v>
      </c>
    </row>
    <row r="34" spans="1:11" x14ac:dyDescent="0.25">
      <c r="A34">
        <v>1032</v>
      </c>
      <c r="B34" s="2">
        <v>45308</v>
      </c>
      <c r="C34" t="s">
        <v>55</v>
      </c>
      <c r="D34" t="s">
        <v>54</v>
      </c>
      <c r="E34">
        <v>1</v>
      </c>
      <c r="F34">
        <v>200000</v>
      </c>
      <c r="G34">
        <f t="shared" ref="G34:G65" si="5">E34*F34</f>
        <v>200000</v>
      </c>
      <c r="H34" t="s">
        <v>53</v>
      </c>
      <c r="I34" t="str">
        <f t="shared" ref="I34:I52" si="6">PROPER(TRIM(C34))</f>
        <v>Headphones</v>
      </c>
      <c r="J34" t="str">
        <f t="shared" ref="J34:J52" si="7">UPPER(H34)</f>
        <v>NORTH</v>
      </c>
      <c r="K34" t="str">
        <f t="shared" ref="K34:K52" si="8">IF(G34&gt;=200000,"High","Low")</f>
        <v>High</v>
      </c>
    </row>
    <row r="35" spans="1:11" x14ac:dyDescent="0.25">
      <c r="A35">
        <v>1033</v>
      </c>
      <c r="B35" s="2">
        <v>45309</v>
      </c>
      <c r="C35" t="s">
        <v>66</v>
      </c>
      <c r="D35" t="s">
        <v>57</v>
      </c>
      <c r="E35">
        <v>0</v>
      </c>
      <c r="F35">
        <v>120000</v>
      </c>
      <c r="G35">
        <f t="shared" si="5"/>
        <v>0</v>
      </c>
      <c r="H35" t="s">
        <v>62</v>
      </c>
      <c r="I35" t="str">
        <f t="shared" si="6"/>
        <v>Bag</v>
      </c>
      <c r="J35" t="str">
        <f t="shared" si="7"/>
        <v>WEST</v>
      </c>
      <c r="K35" t="str">
        <f t="shared" si="8"/>
        <v>Low</v>
      </c>
    </row>
    <row r="36" spans="1:11" x14ac:dyDescent="0.25">
      <c r="A36">
        <v>1034</v>
      </c>
      <c r="B36" s="2">
        <v>45309</v>
      </c>
      <c r="C36" t="s">
        <v>67</v>
      </c>
      <c r="D36" t="s">
        <v>60</v>
      </c>
      <c r="E36">
        <v>5</v>
      </c>
      <c r="F36">
        <v>75000</v>
      </c>
      <c r="G36">
        <f t="shared" si="5"/>
        <v>375000</v>
      </c>
      <c r="H36" t="s">
        <v>56</v>
      </c>
      <c r="I36" t="str">
        <f t="shared" si="6"/>
        <v>T-Shirt</v>
      </c>
      <c r="J36" t="str">
        <f t="shared" si="7"/>
        <v>EAST</v>
      </c>
      <c r="K36" t="str">
        <f t="shared" si="8"/>
        <v>High</v>
      </c>
    </row>
    <row r="37" spans="1:11" x14ac:dyDescent="0.25">
      <c r="A37">
        <v>1035</v>
      </c>
      <c r="B37" s="2">
        <v>45310</v>
      </c>
      <c r="C37" t="s">
        <v>64</v>
      </c>
      <c r="D37" t="s">
        <v>63</v>
      </c>
      <c r="E37">
        <v>2</v>
      </c>
      <c r="F37">
        <v>250000</v>
      </c>
      <c r="G37">
        <f t="shared" si="5"/>
        <v>500000</v>
      </c>
      <c r="H37" t="s">
        <v>62</v>
      </c>
      <c r="I37" t="str">
        <f t="shared" si="6"/>
        <v>Shoes</v>
      </c>
      <c r="J37" t="str">
        <f t="shared" si="7"/>
        <v>WEST</v>
      </c>
      <c r="K37" t="str">
        <f t="shared" si="8"/>
        <v>High</v>
      </c>
    </row>
    <row r="38" spans="1:11" x14ac:dyDescent="0.25">
      <c r="A38">
        <v>1036</v>
      </c>
      <c r="B38" s="2">
        <v>45310</v>
      </c>
      <c r="C38" t="s">
        <v>61</v>
      </c>
      <c r="D38" t="s">
        <v>60</v>
      </c>
      <c r="E38">
        <v>1</v>
      </c>
      <c r="F38">
        <v>150000</v>
      </c>
      <c r="G38">
        <f t="shared" si="5"/>
        <v>150000</v>
      </c>
      <c r="H38" t="s">
        <v>59</v>
      </c>
      <c r="I38" t="str">
        <f t="shared" si="6"/>
        <v>Jacket</v>
      </c>
      <c r="J38" t="str">
        <f t="shared" si="7"/>
        <v>SOUTH</v>
      </c>
      <c r="K38" t="str">
        <f t="shared" si="8"/>
        <v>Low</v>
      </c>
    </row>
    <row r="39" spans="1:11" x14ac:dyDescent="0.25">
      <c r="A39">
        <v>1037</v>
      </c>
      <c r="B39" s="2">
        <v>45311</v>
      </c>
      <c r="C39" t="s">
        <v>58</v>
      </c>
      <c r="D39" t="s">
        <v>57</v>
      </c>
      <c r="E39">
        <v>3</v>
      </c>
      <c r="F39">
        <v>45000</v>
      </c>
      <c r="G39">
        <f t="shared" si="5"/>
        <v>135000</v>
      </c>
      <c r="H39" t="s">
        <v>56</v>
      </c>
      <c r="I39" t="str">
        <f t="shared" si="6"/>
        <v>Cap</v>
      </c>
      <c r="J39" t="str">
        <f t="shared" si="7"/>
        <v>EAST</v>
      </c>
      <c r="K39" t="str">
        <f t="shared" si="8"/>
        <v>Low</v>
      </c>
    </row>
    <row r="40" spans="1:11" x14ac:dyDescent="0.25">
      <c r="A40">
        <v>1038</v>
      </c>
      <c r="B40" s="2">
        <v>45311</v>
      </c>
      <c r="C40" t="s">
        <v>55</v>
      </c>
      <c r="D40" t="s">
        <v>54</v>
      </c>
      <c r="E40">
        <v>2</v>
      </c>
      <c r="F40">
        <v>200000</v>
      </c>
      <c r="G40">
        <f t="shared" si="5"/>
        <v>400000</v>
      </c>
      <c r="H40" t="s">
        <v>53</v>
      </c>
      <c r="I40" t="str">
        <f t="shared" si="6"/>
        <v>Headphones</v>
      </c>
      <c r="J40" t="str">
        <f t="shared" si="7"/>
        <v>NORTH</v>
      </c>
      <c r="K40" t="str">
        <f t="shared" si="8"/>
        <v>High</v>
      </c>
    </row>
    <row r="41" spans="1:11" x14ac:dyDescent="0.25">
      <c r="A41">
        <v>1039</v>
      </c>
      <c r="B41" s="2">
        <v>45312</v>
      </c>
      <c r="C41" t="s">
        <v>66</v>
      </c>
      <c r="D41" t="s">
        <v>57</v>
      </c>
      <c r="E41">
        <v>1</v>
      </c>
      <c r="F41">
        <v>120000</v>
      </c>
      <c r="G41">
        <f t="shared" si="5"/>
        <v>120000</v>
      </c>
      <c r="H41" t="s">
        <v>59</v>
      </c>
      <c r="I41" t="str">
        <f t="shared" si="6"/>
        <v>Bag</v>
      </c>
      <c r="J41" t="str">
        <f t="shared" si="7"/>
        <v>SOUTH</v>
      </c>
      <c r="K41" t="str">
        <f t="shared" si="8"/>
        <v>Low</v>
      </c>
    </row>
    <row r="42" spans="1:11" x14ac:dyDescent="0.25">
      <c r="A42">
        <v>1040</v>
      </c>
      <c r="B42" s="2">
        <v>45312</v>
      </c>
      <c r="C42" t="s">
        <v>65</v>
      </c>
      <c r="D42" t="s">
        <v>60</v>
      </c>
      <c r="E42">
        <v>4</v>
      </c>
      <c r="F42">
        <v>75000</v>
      </c>
      <c r="G42">
        <f t="shared" si="5"/>
        <v>300000</v>
      </c>
      <c r="H42" t="s">
        <v>56</v>
      </c>
      <c r="I42" t="str">
        <f t="shared" si="6"/>
        <v>T-Shirt</v>
      </c>
      <c r="J42" t="str">
        <f t="shared" si="7"/>
        <v>EAST</v>
      </c>
      <c r="K42" t="str">
        <f t="shared" si="8"/>
        <v>High</v>
      </c>
    </row>
    <row r="43" spans="1:11" x14ac:dyDescent="0.25">
      <c r="A43">
        <v>1041</v>
      </c>
      <c r="B43" s="2">
        <v>45313</v>
      </c>
      <c r="C43" t="s">
        <v>64</v>
      </c>
      <c r="D43" t="s">
        <v>63</v>
      </c>
      <c r="E43">
        <v>2</v>
      </c>
      <c r="F43">
        <v>250000</v>
      </c>
      <c r="G43">
        <f t="shared" si="5"/>
        <v>500000</v>
      </c>
      <c r="H43" t="s">
        <v>62</v>
      </c>
      <c r="I43" t="str">
        <f t="shared" si="6"/>
        <v>Shoes</v>
      </c>
      <c r="J43" t="str">
        <f t="shared" si="7"/>
        <v>WEST</v>
      </c>
      <c r="K43" t="str">
        <f t="shared" si="8"/>
        <v>High</v>
      </c>
    </row>
    <row r="44" spans="1:11" x14ac:dyDescent="0.25">
      <c r="A44">
        <v>1042</v>
      </c>
      <c r="B44" s="2">
        <v>45313</v>
      </c>
      <c r="C44" t="s">
        <v>61</v>
      </c>
      <c r="D44" t="s">
        <v>60</v>
      </c>
      <c r="E44">
        <v>2</v>
      </c>
      <c r="F44">
        <v>150000</v>
      </c>
      <c r="G44">
        <f t="shared" si="5"/>
        <v>300000</v>
      </c>
      <c r="H44" t="s">
        <v>59</v>
      </c>
      <c r="I44" t="str">
        <f t="shared" si="6"/>
        <v>Jacket</v>
      </c>
      <c r="J44" t="str">
        <f t="shared" si="7"/>
        <v>SOUTH</v>
      </c>
      <c r="K44" t="str">
        <f t="shared" si="8"/>
        <v>High</v>
      </c>
    </row>
    <row r="45" spans="1:11" x14ac:dyDescent="0.25">
      <c r="A45">
        <v>1043</v>
      </c>
      <c r="B45" s="2">
        <v>45314</v>
      </c>
      <c r="C45" t="s">
        <v>58</v>
      </c>
      <c r="D45" t="s">
        <v>57</v>
      </c>
      <c r="E45">
        <v>5</v>
      </c>
      <c r="F45">
        <v>45000</v>
      </c>
      <c r="G45">
        <f t="shared" si="5"/>
        <v>225000</v>
      </c>
      <c r="H45" t="s">
        <v>56</v>
      </c>
      <c r="I45" t="str">
        <f t="shared" si="6"/>
        <v>Cap</v>
      </c>
      <c r="J45" t="str">
        <f t="shared" si="7"/>
        <v>EAST</v>
      </c>
      <c r="K45" t="str">
        <f t="shared" si="8"/>
        <v>High</v>
      </c>
    </row>
    <row r="46" spans="1:11" x14ac:dyDescent="0.25">
      <c r="A46">
        <v>1044</v>
      </c>
      <c r="B46" s="2">
        <v>45314</v>
      </c>
      <c r="C46" t="s">
        <v>55</v>
      </c>
      <c r="D46" t="s">
        <v>54</v>
      </c>
      <c r="E46">
        <v>1</v>
      </c>
      <c r="F46">
        <v>200000</v>
      </c>
      <c r="G46">
        <f t="shared" si="5"/>
        <v>200000</v>
      </c>
      <c r="H46" t="s">
        <v>53</v>
      </c>
      <c r="I46" t="str">
        <f t="shared" si="6"/>
        <v>Headphones</v>
      </c>
      <c r="J46" t="str">
        <f t="shared" si="7"/>
        <v>NORTH</v>
      </c>
      <c r="K46" t="str">
        <f t="shared" si="8"/>
        <v>High</v>
      </c>
    </row>
    <row r="47" spans="1:11" x14ac:dyDescent="0.25">
      <c r="A47">
        <v>1045</v>
      </c>
      <c r="B47" s="2">
        <v>45315</v>
      </c>
      <c r="C47" t="s">
        <v>66</v>
      </c>
      <c r="D47" t="s">
        <v>57</v>
      </c>
      <c r="E47">
        <v>2</v>
      </c>
      <c r="F47">
        <v>120000</v>
      </c>
      <c r="G47">
        <f t="shared" si="5"/>
        <v>240000</v>
      </c>
      <c r="H47" t="s">
        <v>62</v>
      </c>
      <c r="I47" t="str">
        <f t="shared" si="6"/>
        <v>Bag</v>
      </c>
      <c r="J47" t="str">
        <f t="shared" si="7"/>
        <v>WEST</v>
      </c>
      <c r="K47" t="str">
        <f t="shared" si="8"/>
        <v>High</v>
      </c>
    </row>
    <row r="48" spans="1:11" x14ac:dyDescent="0.25">
      <c r="A48">
        <v>1046</v>
      </c>
      <c r="B48" s="2">
        <v>45315</v>
      </c>
      <c r="C48" t="s">
        <v>65</v>
      </c>
      <c r="D48" t="s">
        <v>60</v>
      </c>
      <c r="E48">
        <v>0</v>
      </c>
      <c r="F48">
        <v>75000</v>
      </c>
      <c r="G48">
        <f t="shared" si="5"/>
        <v>0</v>
      </c>
      <c r="H48" t="s">
        <v>56</v>
      </c>
      <c r="I48" t="str">
        <f t="shared" si="6"/>
        <v>T-Shirt</v>
      </c>
      <c r="J48" t="str">
        <f t="shared" si="7"/>
        <v>EAST</v>
      </c>
      <c r="K48" t="str">
        <f t="shared" si="8"/>
        <v>Low</v>
      </c>
    </row>
    <row r="49" spans="1:11" x14ac:dyDescent="0.25">
      <c r="A49">
        <v>1047</v>
      </c>
      <c r="B49" s="2">
        <v>45316</v>
      </c>
      <c r="C49" t="s">
        <v>64</v>
      </c>
      <c r="D49" t="s">
        <v>63</v>
      </c>
      <c r="E49">
        <v>3</v>
      </c>
      <c r="F49">
        <v>250000</v>
      </c>
      <c r="G49">
        <f t="shared" si="5"/>
        <v>750000</v>
      </c>
      <c r="H49" t="s">
        <v>62</v>
      </c>
      <c r="I49" t="str">
        <f t="shared" si="6"/>
        <v>Shoes</v>
      </c>
      <c r="J49" t="str">
        <f t="shared" si="7"/>
        <v>WEST</v>
      </c>
      <c r="K49" t="str">
        <f t="shared" si="8"/>
        <v>High</v>
      </c>
    </row>
    <row r="50" spans="1:11" x14ac:dyDescent="0.25">
      <c r="A50">
        <v>1048</v>
      </c>
      <c r="B50" s="2">
        <v>45316</v>
      </c>
      <c r="C50" t="s">
        <v>61</v>
      </c>
      <c r="D50" t="s">
        <v>60</v>
      </c>
      <c r="E50">
        <v>1</v>
      </c>
      <c r="F50">
        <v>150000</v>
      </c>
      <c r="G50">
        <f t="shared" si="5"/>
        <v>150000</v>
      </c>
      <c r="H50" t="s">
        <v>59</v>
      </c>
      <c r="I50" t="str">
        <f t="shared" si="6"/>
        <v>Jacket</v>
      </c>
      <c r="J50" t="str">
        <f t="shared" si="7"/>
        <v>SOUTH</v>
      </c>
      <c r="K50" t="str">
        <f t="shared" si="8"/>
        <v>Low</v>
      </c>
    </row>
    <row r="51" spans="1:11" x14ac:dyDescent="0.25">
      <c r="A51">
        <v>1049</v>
      </c>
      <c r="B51" s="2">
        <v>45292</v>
      </c>
      <c r="C51" t="s">
        <v>58</v>
      </c>
      <c r="D51" t="s">
        <v>57</v>
      </c>
      <c r="E51">
        <v>4</v>
      </c>
      <c r="F51">
        <v>45000</v>
      </c>
      <c r="G51">
        <f t="shared" si="5"/>
        <v>180000</v>
      </c>
      <c r="H51" t="s">
        <v>56</v>
      </c>
      <c r="I51" t="str">
        <f t="shared" si="6"/>
        <v>Cap</v>
      </c>
      <c r="J51" t="str">
        <f t="shared" si="7"/>
        <v>EAST</v>
      </c>
      <c r="K51" t="str">
        <f t="shared" si="8"/>
        <v>Low</v>
      </c>
    </row>
    <row r="52" spans="1:11" x14ac:dyDescent="0.25">
      <c r="A52">
        <v>1050</v>
      </c>
      <c r="B52" s="2">
        <v>45317</v>
      </c>
      <c r="C52" t="s">
        <v>55</v>
      </c>
      <c r="D52" t="s">
        <v>54</v>
      </c>
      <c r="E52">
        <v>2</v>
      </c>
      <c r="F52">
        <v>200000</v>
      </c>
      <c r="G52">
        <f t="shared" si="5"/>
        <v>400000</v>
      </c>
      <c r="H52" t="s">
        <v>53</v>
      </c>
      <c r="I52" t="str">
        <f t="shared" si="6"/>
        <v>Headphones</v>
      </c>
      <c r="J52" t="str">
        <f t="shared" si="7"/>
        <v>NORTH</v>
      </c>
      <c r="K52" t="str">
        <f t="shared" si="8"/>
        <v>High</v>
      </c>
    </row>
    <row r="54" spans="1:11" x14ac:dyDescent="0.25">
      <c r="F54" s="1"/>
    </row>
    <row r="55" spans="1:11" x14ac:dyDescent="0.25">
      <c r="F55" s="1"/>
    </row>
    <row r="56" spans="1:11" x14ac:dyDescent="0.25">
      <c r="F56" s="1"/>
    </row>
    <row r="57" spans="1:11" x14ac:dyDescent="0.25">
      <c r="F57" s="1"/>
    </row>
  </sheetData>
  <conditionalFormatting sqref="G2:G52">
    <cfRule type="cellIs" dxfId="1" priority="1" operator="lessThan">
      <formula>200000</formula>
    </cfRule>
    <cfRule type="cellIs" dxfId="0" priority="2" operator="greaterThan">
      <formula>200000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Total Sales Category+Visual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2026-01-08T10:15:45Z</dcterms:created>
  <dcterms:modified xsi:type="dcterms:W3CDTF">2026-01-09T02:06:50Z</dcterms:modified>
</cp:coreProperties>
</file>