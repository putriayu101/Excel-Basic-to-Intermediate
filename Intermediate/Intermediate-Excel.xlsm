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HP\Documents\Learning + Portfolio\Excel\Excel Basic - Advance\"/>
    </mc:Choice>
  </mc:AlternateContent>
  <xr:revisionPtr revIDLastSave="0" documentId="13_ncr:1_{85D3E506-B6C8-4055-94E1-036FBFBD18D1}" xr6:coauthVersionLast="47" xr6:coauthVersionMax="47" xr10:uidLastSave="{00000000-0000-0000-0000-000000000000}"/>
  <bookViews>
    <workbookView xWindow="-120" yWindow="-120" windowWidth="20730" windowHeight="11040" xr2:uid="{DFCEED12-4C22-4151-89F9-BFA3B4EAF890}"/>
  </bookViews>
  <sheets>
    <sheet name="Excel-Intermediate" sheetId="1" r:id="rId1"/>
    <sheet name="SheetHelp" sheetId="2" r:id="rId2"/>
    <sheet name="Data RAW - Pivot" sheetId="4" r:id="rId3"/>
    <sheet name="Data Tambahan" sheetId="6" r:id="rId4"/>
    <sheet name="Intermediate - Pivot Table" sheetId="5" r:id="rId5"/>
  </sheets>
  <externalReferences>
    <externalReference r:id="rId6"/>
  </externalReferences>
  <definedNames>
    <definedName name="NativeTimeline_Pajak_Kadaluwarsa">#N/A</definedName>
    <definedName name="Slicer_Area">#N/A</definedName>
    <definedName name="Slicer_Bulan">#N/A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16" i="1" l="1"/>
  <c r="F303" i="1"/>
  <c r="F294" i="1"/>
  <c r="F285" i="1"/>
  <c r="E277" i="1"/>
  <c r="E276" i="1"/>
  <c r="G228" i="1"/>
  <c r="E228" i="1" a="1"/>
  <c r="E228" i="1" s="1"/>
  <c r="F221" i="1" a="1"/>
  <c r="F221" i="1" s="1"/>
  <c r="H206" i="1"/>
  <c r="E194" i="1" a="1"/>
  <c r="E194" i="1" s="1"/>
  <c r="G164" i="1" a="1"/>
  <c r="G164" i="1" s="1"/>
  <c r="F164" i="1" a="1"/>
  <c r="F164" i="1" s="1"/>
  <c r="F153" i="1" a="1"/>
  <c r="F153" i="1" s="1"/>
  <c r="E153" i="1" a="1"/>
  <c r="E153" i="1" s="1"/>
  <c r="E137" i="1" a="1"/>
  <c r="E137" i="1" s="1"/>
  <c r="E119" i="1"/>
  <c r="E118" i="1"/>
  <c r="E117" i="1"/>
  <c r="E116" i="1"/>
  <c r="G77" i="1"/>
  <c r="E55" i="1"/>
  <c r="F13" i="1"/>
  <c r="D175" i="1" a="1"/>
  <c r="D175" i="1" s="1"/>
  <c r="E83" i="1"/>
  <c r="F83" i="1" s="1"/>
  <c r="E84" i="1"/>
  <c r="F84" i="1" s="1"/>
  <c r="E85" i="1"/>
  <c r="F85" i="1" s="1"/>
  <c r="E86" i="1"/>
  <c r="F86" i="1" s="1"/>
  <c r="E87" i="1"/>
  <c r="F87" i="1" s="1"/>
  <c r="E88" i="1"/>
  <c r="F88" i="1" s="1"/>
  <c r="E89" i="1"/>
  <c r="F89" i="1" s="1"/>
  <c r="E90" i="1"/>
  <c r="F90" i="1" s="1"/>
  <c r="E91" i="1"/>
  <c r="F91" i="1" s="1"/>
  <c r="E82" i="1"/>
  <c r="F82" i="1" s="1"/>
  <c r="E20" i="1"/>
  <c r="E21" i="1"/>
  <c r="E22" i="1"/>
  <c r="E23" i="1"/>
  <c r="E24" i="1"/>
  <c r="E25" i="1"/>
  <c r="E26" i="1"/>
  <c r="E27" i="1"/>
  <c r="E28" i="1"/>
  <c r="E19" i="1"/>
  <c r="F20" i="1"/>
  <c r="F21" i="1"/>
  <c r="F22" i="1"/>
  <c r="F23" i="1"/>
  <c r="F24" i="1"/>
  <c r="F25" i="1"/>
  <c r="F26" i="1"/>
  <c r="F27" i="1"/>
  <c r="F28" i="1"/>
  <c r="F19" i="1"/>
  <c r="E217" i="1" a="1"/>
  <c r="E217" i="1" s="1"/>
  <c r="E727" i="1" l="1"/>
  <c r="E742" i="1"/>
  <c r="E257" i="1"/>
  <c r="D326" i="1" a="1"/>
  <c r="D326" i="1" s="1"/>
  <c r="E326" i="1" s="1"/>
  <c r="C340" i="1"/>
  <c r="F228" i="1"/>
  <c r="E265" i="1"/>
  <c r="H207" i="1"/>
  <c r="D186" i="1" a="1"/>
  <c r="D186" i="1" s="1"/>
  <c r="D181" i="1" a="1"/>
  <c r="D181" i="1" s="1"/>
  <c r="E66" i="1"/>
  <c r="E67" i="1"/>
  <c r="E68" i="1"/>
  <c r="E56" i="1"/>
  <c r="E57" i="1"/>
  <c r="F14" i="1"/>
  <c r="F15" i="1"/>
  <c r="E331" i="1" l="1"/>
  <c r="F236" i="1"/>
  <c r="F232" i="1"/>
  <c r="F234" i="1"/>
  <c r="F230" i="1"/>
  <c r="F237" i="1"/>
  <c r="F235" i="1"/>
  <c r="F233" i="1"/>
  <c r="F231" i="1"/>
  <c r="F2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<sst xmlns="http://schemas.openxmlformats.org/spreadsheetml/2006/main" count="1484" uniqueCount="654">
  <si>
    <t>EXCEL INTERMEDIATE</t>
  </si>
  <si>
    <t>VLOOKUP/XLOOKUP, PIVOT TABEL, CHART</t>
  </si>
  <si>
    <t>Try DASHBOARD MINI in EXCEL</t>
  </si>
  <si>
    <t>Output: Dashboard Excel Sederhana (PIVOT+CHART)</t>
  </si>
  <si>
    <t>VLOOKUP</t>
  </si>
  <si>
    <t>PENJELASAN &amp; KETERANGAN</t>
  </si>
  <si>
    <t>vertical lookup, dig. Untuk mencari nilai spesifik dalam tabel scr vertikal/baris</t>
  </si>
  <si>
    <t>product_id</t>
  </si>
  <si>
    <t>product name</t>
  </si>
  <si>
    <t>price</t>
  </si>
  <si>
    <t>apple</t>
  </si>
  <si>
    <t>banana</t>
  </si>
  <si>
    <t>cherry</t>
  </si>
  <si>
    <t>rumus: =VLOOKUP(B12;B11:D14;3;FALSE)</t>
  </si>
  <si>
    <t xml:space="preserve">VLOOKUP </t>
  </si>
  <si>
    <t>BETWEEN 2 EXCEL</t>
  </si>
  <si>
    <t>excel 1</t>
  </si>
  <si>
    <t>employee id</t>
  </si>
  <si>
    <t>employee name</t>
  </si>
  <si>
    <t>john doe</t>
  </si>
  <si>
    <t>jane smith</t>
  </si>
  <si>
    <t>emily white</t>
  </si>
  <si>
    <t>excel 2</t>
  </si>
  <si>
    <t>email</t>
  </si>
  <si>
    <t>john.doe@email.com</t>
  </si>
  <si>
    <t>jane.smith@email.com</t>
  </si>
  <si>
    <t>emily.white@email.com</t>
  </si>
  <si>
    <t>output</t>
  </si>
  <si>
    <t>koneksi data dari 2 excel sheets</t>
  </si>
  <si>
    <t>rumus: =VLOOKUP(C24;SheetHelp!B:C;2;FALSE)</t>
  </si>
  <si>
    <r>
      <rPr>
        <b/>
        <sz val="11"/>
        <color theme="1"/>
        <rFont val="Calibri"/>
        <family val="2"/>
        <scheme val="minor"/>
      </rPr>
      <t>B12 =</t>
    </r>
    <r>
      <rPr>
        <sz val="11"/>
        <color theme="1"/>
        <rFont val="Calibri"/>
        <family val="2"/>
        <scheme val="minor"/>
      </rPr>
      <t xml:space="preserve"> nilai yang dicari bisa berup angka/teks/lainnya (ex: product_id)</t>
    </r>
  </si>
  <si>
    <r>
      <rPr>
        <b/>
        <sz val="11"/>
        <color theme="1"/>
        <rFont val="Calibri"/>
        <family val="2"/>
        <scheme val="minor"/>
      </rPr>
      <t>B11:D14  =</t>
    </r>
    <r>
      <rPr>
        <sz val="11"/>
        <color theme="1"/>
        <rFont val="Calibri"/>
        <family val="2"/>
        <scheme val="minor"/>
      </rPr>
      <t xml:space="preserve"> rentang tabel/sel dimana fungsi VLOOKUP nanti akan mencari </t>
    </r>
  </si>
  <si>
    <r>
      <rPr>
        <b/>
        <sz val="11"/>
        <color theme="1"/>
        <rFont val="Calibri"/>
        <family val="2"/>
        <scheme val="minor"/>
      </rPr>
      <t>3 =</t>
    </r>
    <r>
      <rPr>
        <sz val="11"/>
        <color theme="1"/>
        <rFont val="Calibri"/>
        <family val="2"/>
        <scheme val="minor"/>
      </rPr>
      <t xml:space="preserve"> nomor kolom, memberi tahu untuk mengamnil dari dari kolom ke-3 (ex: price)</t>
    </r>
  </si>
  <si>
    <r>
      <rPr>
        <b/>
        <sz val="11"/>
        <color theme="1"/>
        <rFont val="Calibri"/>
        <family val="2"/>
        <scheme val="minor"/>
      </rPr>
      <t>FALSE =</t>
    </r>
    <r>
      <rPr>
        <sz val="11"/>
        <color theme="1"/>
        <rFont val="Calibri"/>
        <family val="2"/>
        <scheme val="minor"/>
      </rPr>
      <t xml:space="preserve"> digunakan ketika hasil yang diinginkan sesuai/ exact match</t>
    </r>
  </si>
  <si>
    <r>
      <rPr>
        <b/>
        <sz val="11"/>
        <color theme="1"/>
        <rFont val="Calibri"/>
        <family val="2"/>
        <scheme val="minor"/>
      </rPr>
      <t>TRUE =</t>
    </r>
    <r>
      <rPr>
        <sz val="11"/>
        <color theme="1"/>
        <rFont val="Calibri"/>
        <family val="2"/>
        <scheme val="minor"/>
      </rPr>
      <t xml:space="preserve"> dig. Ketika ingin hasil yang approximate match/ mendekati perkiraan</t>
    </r>
  </si>
  <si>
    <r>
      <rPr>
        <b/>
        <sz val="11"/>
        <color theme="1"/>
        <rFont val="Calibri"/>
        <family val="2"/>
        <scheme val="minor"/>
      </rPr>
      <t xml:space="preserve">C24 = </t>
    </r>
    <r>
      <rPr>
        <sz val="11"/>
        <color theme="1"/>
        <rFont val="Calibri"/>
        <family val="2"/>
        <scheme val="minor"/>
      </rPr>
      <t>referse ke tabel pada sheet1 (ex: employee id)</t>
    </r>
  </si>
  <si>
    <r>
      <rPr>
        <b/>
        <sz val="11"/>
        <color theme="1"/>
        <rFont val="Calibri"/>
        <family val="2"/>
        <scheme val="minor"/>
      </rPr>
      <t>Sheet2!B:C =</t>
    </r>
    <r>
      <rPr>
        <sz val="11"/>
        <color theme="1"/>
        <rFont val="Calibri"/>
        <family val="2"/>
        <scheme val="minor"/>
      </rPr>
      <t xml:space="preserve"> tells excel untuk mencari kolom B dan C pada SheetHelp</t>
    </r>
  </si>
  <si>
    <r>
      <rPr>
        <b/>
        <sz val="11"/>
        <color theme="1"/>
        <rFont val="Calibri"/>
        <family val="2"/>
        <scheme val="minor"/>
      </rPr>
      <t>anotasi (!) =</t>
    </r>
    <r>
      <rPr>
        <sz val="11"/>
        <color theme="1"/>
        <rFont val="Calibri"/>
        <family val="2"/>
        <scheme val="minor"/>
      </rPr>
      <t xml:space="preserve"> mengartikan bahwa sheet berada di sheet lainnya</t>
    </r>
  </si>
  <si>
    <r>
      <rPr>
        <b/>
        <sz val="11"/>
        <color theme="1"/>
        <rFont val="Calibri"/>
        <family val="2"/>
        <scheme val="minor"/>
      </rPr>
      <t xml:space="preserve">2 = </t>
    </r>
    <r>
      <rPr>
        <sz val="11"/>
        <color theme="1"/>
        <rFont val="Calibri"/>
        <family val="2"/>
        <scheme val="minor"/>
      </rPr>
      <t>mengartikan bahwa hasil yg diinginkan (email address) ada di kolom ke-2 di SheetHelp</t>
    </r>
  </si>
  <si>
    <r>
      <rPr>
        <b/>
        <sz val="11"/>
        <color theme="1"/>
        <rFont val="Calibri"/>
        <family val="2"/>
        <scheme val="minor"/>
      </rPr>
      <t xml:space="preserve">FALSE = </t>
    </r>
    <r>
      <rPr>
        <sz val="11"/>
        <color theme="1"/>
        <rFont val="Calibri"/>
        <family val="2"/>
        <scheme val="minor"/>
      </rPr>
      <t xml:space="preserve">mengartikan bahwa hasil yang diinginkan adalah yang sesuai </t>
    </r>
  </si>
  <si>
    <t>VLOOKUP BETWEEN</t>
  </si>
  <si>
    <t>2 WORKBOOK</t>
  </si>
  <si>
    <t xml:space="preserve">digunakan u/ mengambil data dari worksheets yang berbeda </t>
  </si>
  <si>
    <t>worksheet1</t>
  </si>
  <si>
    <t>transaction id</t>
  </si>
  <si>
    <t>sale amount</t>
  </si>
  <si>
    <t>T001</t>
  </si>
  <si>
    <t>T002</t>
  </si>
  <si>
    <t>T003</t>
  </si>
  <si>
    <t>$500</t>
  </si>
  <si>
    <t>$150</t>
  </si>
  <si>
    <t>$300</t>
  </si>
  <si>
    <t>rumus: =VLOOKUP(C34;'[Intermediate-Excel-Worksheet2.xlsm]Sheet1'!$A$3:$B$6;2;FALSE)</t>
  </si>
  <si>
    <t>KET:</t>
  </si>
  <si>
    <r>
      <rPr>
        <b/>
        <sz val="11"/>
        <color theme="1"/>
        <rFont val="Calibri"/>
        <family val="2"/>
        <scheme val="minor"/>
      </rPr>
      <t>C34 =</t>
    </r>
    <r>
      <rPr>
        <sz val="11"/>
        <color theme="1"/>
        <rFont val="Calibri"/>
        <family val="2"/>
        <scheme val="minor"/>
      </rPr>
      <t xml:space="preserve"> lookup value (nilai yang dicari), kolom pertama dari tabel referensi</t>
    </r>
  </si>
  <si>
    <r>
      <rPr>
        <b/>
        <sz val="11"/>
        <color theme="1"/>
        <rFont val="Calibri"/>
        <family val="2"/>
        <scheme val="minor"/>
      </rPr>
      <t>[Intermediate-Excel-Worksheet2.xlsm]</t>
    </r>
    <r>
      <rPr>
        <sz val="11"/>
        <color theme="1"/>
        <rFont val="Calibri"/>
        <family val="2"/>
        <scheme val="minor"/>
      </rPr>
      <t xml:space="preserve"> = nama workbook lain yang digunakan</t>
    </r>
  </si>
  <si>
    <r>
      <rPr>
        <b/>
        <sz val="11"/>
        <color theme="1"/>
        <rFont val="Calibri"/>
        <family val="2"/>
        <scheme val="minor"/>
      </rPr>
      <t>Sheet1'! =</t>
    </r>
    <r>
      <rPr>
        <sz val="11"/>
        <color theme="1"/>
        <rFont val="Calibri"/>
        <family val="2"/>
        <scheme val="minor"/>
      </rPr>
      <t xml:space="preserve"> nama worksheet yang ada dalam workbook yang digunakan </t>
    </r>
  </si>
  <si>
    <r>
      <rPr>
        <b/>
        <sz val="11"/>
        <color theme="1"/>
        <rFont val="Calibri"/>
        <family val="2"/>
        <scheme val="minor"/>
      </rPr>
      <t>$A$3:$B$6 =</t>
    </r>
    <r>
      <rPr>
        <sz val="11"/>
        <color theme="1"/>
        <rFont val="Calibri"/>
        <family val="2"/>
        <scheme val="minor"/>
      </rPr>
      <t xml:space="preserve"> range tabel di workbook lain </t>
    </r>
  </si>
  <si>
    <r>
      <rPr>
        <b/>
        <sz val="11"/>
        <color theme="1"/>
        <rFont val="Calibri"/>
        <family val="2"/>
        <scheme val="minor"/>
      </rPr>
      <t>2 =</t>
    </r>
    <r>
      <rPr>
        <sz val="11"/>
        <color theme="1"/>
        <rFont val="Calibri"/>
        <family val="2"/>
        <scheme val="minor"/>
      </rPr>
      <t xml:space="preserve"> colom index number (excel akan mengambil nilai dari kolok ke-2 dalam workbook lain </t>
    </r>
  </si>
  <si>
    <r>
      <rPr>
        <b/>
        <sz val="11"/>
        <color theme="1"/>
        <rFont val="Calibri"/>
        <family val="2"/>
        <scheme val="minor"/>
      </rPr>
      <t>FALSE =</t>
    </r>
    <r>
      <rPr>
        <sz val="11"/>
        <color theme="1"/>
        <rFont val="Calibri"/>
        <family val="2"/>
        <scheme val="minor"/>
      </rPr>
      <t xml:space="preserve"> hasil yang di dapatkan exact match atau nilai nya sesuai/persis</t>
    </r>
  </si>
  <si>
    <t xml:space="preserve">DYNAMICS ARRAY </t>
  </si>
  <si>
    <t>UNIQUE</t>
  </si>
  <si>
    <t>SORT</t>
  </si>
  <si>
    <t>SEQUENCE</t>
  </si>
  <si>
    <t>RANDARRAY</t>
  </si>
  <si>
    <t>FILTER</t>
  </si>
  <si>
    <t>LOOKUP</t>
  </si>
  <si>
    <t xml:space="preserve">Dynamics Array memiliki </t>
  </si>
  <si>
    <t>tujuh formula yaitu:</t>
  </si>
  <si>
    <t>UNIQUE FORMULA</t>
  </si>
  <si>
    <t>menghasilkan nilai yang unik dalam daftar atau rentang data, menghilangkan duplikat</t>
  </si>
  <si>
    <t>name</t>
  </si>
  <si>
    <t xml:space="preserve">jungwon </t>
  </si>
  <si>
    <t>heeseung</t>
  </si>
  <si>
    <t>sunoo</t>
  </si>
  <si>
    <t>niki</t>
  </si>
  <si>
    <t>sunghoon</t>
  </si>
  <si>
    <t>orange</t>
  </si>
  <si>
    <t xml:space="preserve">melon </t>
  </si>
  <si>
    <t>SORT FORMULA</t>
  </si>
  <si>
    <t>menghasilkan list dalam format meningkat (increasing) dan menurun (decreasing)</t>
  </si>
  <si>
    <t>value</t>
  </si>
  <si>
    <t>output (increasing)</t>
  </si>
  <si>
    <t>output (decreasing)</t>
  </si>
  <si>
    <t>rumus: =UNIQUE(D55:D66)</t>
  </si>
  <si>
    <t>SORTBY</t>
  </si>
  <si>
    <t>SORTBY FORMULA</t>
  </si>
  <si>
    <t>mengurutkan daftar list array dari nilai array lain</t>
  </si>
  <si>
    <t>increasing output</t>
  </si>
  <si>
    <t>decreasing output</t>
  </si>
  <si>
    <t>jay</t>
  </si>
  <si>
    <t>jake</t>
  </si>
  <si>
    <t>rumus:</t>
  </si>
  <si>
    <t>decreasing :  =SORTBY(D82:D88;E82:E88;-1) -- (ada 1 (;) jika ada 2 rumus kelebihan titikkoma)</t>
  </si>
  <si>
    <t>SEQUENCE FORMULA</t>
  </si>
  <si>
    <t>membuat daftar dalam bentuk array, tanpa mengetiknya scr manual. Bisa berupa angka, tgl, teks, dll</t>
  </si>
  <si>
    <r>
      <rPr>
        <b/>
        <sz val="11"/>
        <color theme="1"/>
        <rFont val="Calibri"/>
        <family val="2"/>
        <scheme val="minor"/>
      </rPr>
      <t xml:space="preserve">5 (rows) = </t>
    </r>
    <r>
      <rPr>
        <sz val="11"/>
        <color theme="1"/>
        <rFont val="Calibri"/>
        <family val="2"/>
        <scheme val="minor"/>
      </rPr>
      <t xml:space="preserve">jumlah baris yang diinginkan </t>
    </r>
  </si>
  <si>
    <r>
      <rPr>
        <b/>
        <sz val="11"/>
        <color theme="1"/>
        <rFont val="Calibri"/>
        <family val="2"/>
        <scheme val="minor"/>
      </rPr>
      <t>2 (columns)=</t>
    </r>
    <r>
      <rPr>
        <sz val="11"/>
        <color theme="1"/>
        <rFont val="Calibri"/>
        <family val="2"/>
        <scheme val="minor"/>
      </rPr>
      <t xml:space="preserve"> jumlah kolom (opsional, default 1)</t>
    </r>
  </si>
  <si>
    <r>
      <rPr>
        <b/>
        <sz val="11"/>
        <color theme="1"/>
        <rFont val="Calibri"/>
        <family val="2"/>
        <scheme val="minor"/>
      </rPr>
      <t xml:space="preserve">20 (step) = </t>
    </r>
    <r>
      <rPr>
        <sz val="11"/>
        <color theme="1"/>
        <rFont val="Calibri"/>
        <family val="2"/>
        <scheme val="minor"/>
      </rPr>
      <t xml:space="preserve">kenaikan setiap angka berikutnya (opsional, default 1) </t>
    </r>
  </si>
  <si>
    <r>
      <rPr>
        <b/>
        <sz val="11"/>
        <color theme="1"/>
        <rFont val="Calibri"/>
        <family val="2"/>
        <scheme val="minor"/>
      </rPr>
      <t xml:space="preserve">1 (start) = </t>
    </r>
    <r>
      <rPr>
        <sz val="11"/>
        <color theme="1"/>
        <rFont val="Calibri"/>
        <family val="2"/>
        <scheme val="minor"/>
      </rPr>
      <t>angka pertama dalam deret (opsional, default 1)</t>
    </r>
  </si>
  <si>
    <t>rumus : =TEXT(DATE(YEAR(TODAY());SEQUENCE(1;2);1);"mmm")</t>
  </si>
  <si>
    <t>RANDARRAY FORMULA</t>
  </si>
  <si>
    <t xml:space="preserve">menghasilkan array dengan value angka acak (desimal, bulat, dll) dalam jml baris dan kolom yang ditentukan </t>
  </si>
  <si>
    <r>
      <rPr>
        <b/>
        <sz val="11"/>
        <color theme="1"/>
        <rFont val="Calibri"/>
        <family val="2"/>
        <scheme val="minor"/>
      </rPr>
      <t xml:space="preserve">20 (max) = </t>
    </r>
    <r>
      <rPr>
        <sz val="11"/>
        <color theme="1"/>
        <rFont val="Calibri"/>
        <family val="2"/>
        <scheme val="minor"/>
      </rPr>
      <t>nilai maksimal yg diberikan untuk array</t>
    </r>
  </si>
  <si>
    <r>
      <rPr>
        <b/>
        <sz val="11"/>
        <color theme="1"/>
        <rFont val="Calibri"/>
        <family val="2"/>
        <scheme val="minor"/>
      </rPr>
      <t>10 (min) =</t>
    </r>
    <r>
      <rPr>
        <sz val="11"/>
        <color theme="1"/>
        <rFont val="Calibri"/>
        <family val="2"/>
        <scheme val="minor"/>
      </rPr>
      <t xml:space="preserve"> nilai minimum yang diberikan untuk array</t>
    </r>
  </si>
  <si>
    <r>
      <rPr>
        <b/>
        <sz val="11"/>
        <color theme="1"/>
        <rFont val="Calibri"/>
        <family val="2"/>
        <scheme val="minor"/>
      </rPr>
      <t>2 (kolom) =</t>
    </r>
    <r>
      <rPr>
        <sz val="11"/>
        <color theme="1"/>
        <rFont val="Calibri"/>
        <family val="2"/>
        <scheme val="minor"/>
      </rPr>
      <t xml:space="preserve"> menghasilkan 2 kolom</t>
    </r>
  </si>
  <si>
    <r>
      <rPr>
        <b/>
        <sz val="11"/>
        <color theme="1"/>
        <rFont val="Calibri"/>
        <family val="2"/>
        <scheme val="minor"/>
      </rPr>
      <t>4 (baris) =</t>
    </r>
    <r>
      <rPr>
        <sz val="11"/>
        <color theme="1"/>
        <rFont val="Calibri"/>
        <family val="2"/>
        <scheme val="minor"/>
      </rPr>
      <t xml:space="preserve"> menghasilkan 4 baris list </t>
    </r>
  </si>
  <si>
    <t>FILTER FORMULA</t>
  </si>
  <si>
    <t>value &gt; 100</t>
  </si>
  <si>
    <t>LOOKUP FORMULA</t>
  </si>
  <si>
    <t>rumus pencarian &amp; referensi untuk mencari nilai di satu baris/kolom  (vektor) dan mengembalikan</t>
  </si>
  <si>
    <t>nilai yg cocok dari posisi yg sama di baris/kolom. Mencari angka apapun dalam sbh array.</t>
  </si>
  <si>
    <t>order_id</t>
  </si>
  <si>
    <t>product</t>
  </si>
  <si>
    <t>rate</t>
  </si>
  <si>
    <t>quantity</t>
  </si>
  <si>
    <t>result</t>
  </si>
  <si>
    <t>adidas</t>
  </si>
  <si>
    <t>zara</t>
  </si>
  <si>
    <t>nike</t>
  </si>
  <si>
    <t>chanel</t>
  </si>
  <si>
    <t>ysl</t>
  </si>
  <si>
    <t>rumus : =LOOKUP(D127;D123:D128;E123:E128)</t>
  </si>
  <si>
    <t>increasing : =SORT(D71:D77)</t>
  </si>
  <si>
    <t>decreasing : SORT(D71:D77;;-1) -- (ada 2 (;;) jika Cuma 1 rumus tdk berfungsi)</t>
  </si>
  <si>
    <t>increasing : =SORTBY(D82:D88;E82:E88)</t>
  </si>
  <si>
    <t>rumus : =SEQUENCE(5;2;1;20)</t>
  </si>
  <si>
    <t>rumus : =RANDARRAY(4;2;10;20) / =RANDARRAY(4;2) -- (tanpa nilai min/max)</t>
  </si>
  <si>
    <t>COUNTIF FUNCTION</t>
  </si>
  <si>
    <t>digunakan untuk menghitung jumlah cells yang  sesuai dalam rentang data yang memenuhi satu kondisi / kriteria tertentu</t>
  </si>
  <si>
    <t>array yg dpt diubah ukurannya, yg secara otomatis menghitung &amp; mengembalikan nilai ke beberapa sel berdasarkan rumus yg di input dlm satu sel</t>
  </si>
  <si>
    <t xml:space="preserve">name </t>
  </si>
  <si>
    <t>departemen</t>
  </si>
  <si>
    <t>sales</t>
  </si>
  <si>
    <t>status</t>
  </si>
  <si>
    <t>Note:</t>
  </si>
  <si>
    <t>in sales, use "RANDARRAY"</t>
  </si>
  <si>
    <t>u/ menghasilkan nilai random</t>
  </si>
  <si>
    <t>dg minim value 2000, max 2500</t>
  </si>
  <si>
    <t>use (INT(RANDARRAY(…)) u/</t>
  </si>
  <si>
    <t>output bilangan bulat</t>
  </si>
  <si>
    <t>dg nilai "sales" . Jika &gt;= 2000</t>
  </si>
  <si>
    <t>"Active" jika tdk "Inactive"</t>
  </si>
  <si>
    <t>alice</t>
  </si>
  <si>
    <t>bob</t>
  </si>
  <si>
    <t xml:space="preserve">charlie </t>
  </si>
  <si>
    <t>dabid</t>
  </si>
  <si>
    <t>eva</t>
  </si>
  <si>
    <t>henry</t>
  </si>
  <si>
    <t>lily</t>
  </si>
  <si>
    <t>luke</t>
  </si>
  <si>
    <t>maria</t>
  </si>
  <si>
    <t>emily</t>
  </si>
  <si>
    <t>marketing</t>
  </si>
  <si>
    <t>it</t>
  </si>
  <si>
    <t>hr</t>
  </si>
  <si>
    <t>in status use "IF(…)" formula</t>
  </si>
  <si>
    <t>u/ output status sesuai</t>
  </si>
  <si>
    <t xml:space="preserve">COUNTIF with MULTIPLE </t>
  </si>
  <si>
    <t>CRITERIA</t>
  </si>
  <si>
    <t>student</t>
  </si>
  <si>
    <t>marks</t>
  </si>
  <si>
    <t>harry</t>
  </si>
  <si>
    <t>style</t>
  </si>
  <si>
    <t>ari</t>
  </si>
  <si>
    <t>menghitung angka dlm rentang tertentu dengan 2 kriteria, yaitu kurang dari X tetapi lebih dari Y</t>
  </si>
  <si>
    <t>rumus : = COUNTIF(D158:D161;"&gt;70")-COUNTIF(D158:D161;"&gt;=100")</t>
  </si>
  <si>
    <t>marks between &gt;70 &amp; &lt;100</t>
  </si>
  <si>
    <t xml:space="preserve">COUNTIFS </t>
  </si>
  <si>
    <t>output mark between</t>
  </si>
  <si>
    <t>&gt;50 &amp; &lt;100</t>
  </si>
  <si>
    <t xml:space="preserve">bentuk mudah dari countif dalam menghitung rentang tertentu dengan 2 kriteria </t>
  </si>
  <si>
    <t>rumus: =COUNTIFS(D165:D169;"&gt;50";D165:D169;"&lt;=100")</t>
  </si>
  <si>
    <t>MATCH FUNCTION</t>
  </si>
  <si>
    <t xml:space="preserve">membantu untuk menemukan posisi tertentu dalam sebuah baris atau kolom </t>
  </si>
  <si>
    <t xml:space="preserve">MATCH Type: </t>
  </si>
  <si>
    <t>EXACT MATCH</t>
  </si>
  <si>
    <t>date</t>
  </si>
  <si>
    <t>elderberry</t>
  </si>
  <si>
    <t>rumus : =MATCH("cherry";D177:D182;0) atau =MATCH(D178;D177:D181;0)</t>
  </si>
  <si>
    <t>rumus : =MATCH(lookup_value; lookup_array ; [match_type])</t>
  </si>
  <si>
    <t>APPROXIMATE MATCH</t>
  </si>
  <si>
    <t>(ASCENDING ORDER)</t>
  </si>
  <si>
    <t>(DESCENDING ORDER)</t>
  </si>
  <si>
    <t>MATCH with INDEX</t>
  </si>
  <si>
    <t>index</t>
  </si>
  <si>
    <t xml:space="preserve">result mencari "cherry" </t>
  </si>
  <si>
    <t>mencari match dengan index</t>
  </si>
  <si>
    <t>rumus: =INDEX(E205:E209;MATCH("cherry";D205:D209;0))</t>
  </si>
  <si>
    <t xml:space="preserve">HANDLING ERROR </t>
  </si>
  <si>
    <t>rumus: =IFERROR(MATCH("pinapple";D218:D222;0);"NOT FOUND")</t>
  </si>
  <si>
    <t xml:space="preserve">jika fungsi MATCH tidak dapat menemukan lookup_value, dan menghasilkan #N/A error, untuk menghindari ini digunakan IFERROR </t>
  </si>
  <si>
    <t>with MATCH USING</t>
  </si>
  <si>
    <t>IFERROR</t>
  </si>
  <si>
    <r>
      <rPr>
        <b/>
        <sz val="12"/>
        <color theme="1"/>
        <rFont val="Calibri"/>
        <family val="2"/>
        <scheme val="minor"/>
      </rPr>
      <t xml:space="preserve">D158:D161 = </t>
    </r>
    <r>
      <rPr>
        <sz val="12"/>
        <color theme="1"/>
        <rFont val="Calibri"/>
        <family val="2"/>
        <scheme val="minor"/>
      </rPr>
      <t>range nilai yang ingin dicari</t>
    </r>
  </si>
  <si>
    <t>Sytax : =VLOOKUP(Lookup_value; table_array; col_index_num; [range_lookup])</t>
  </si>
  <si>
    <t>D137 = kriteria / kondisi yang harus dipenuhi. (ex = IT) atau (ex = "&gt;50") atau lainnya</t>
  </si>
  <si>
    <t>rumus: =COUNTIF(D134:D144;D137)</t>
  </si>
  <si>
    <t>D134:D144 = range sel yang akan diperiksa</t>
  </si>
  <si>
    <t>mencari suatu nilai dlm tabel/ rentang berdasarkan baris, lalu mengembalikan nilai terkait dari kolom lain pada baris yg sama</t>
  </si>
  <si>
    <t>atau menggunakan TRUE (hasil integer)</t>
  </si>
  <si>
    <t>dan FALSE (hasil desimal)</t>
  </si>
  <si>
    <t>HLOOKUP</t>
  </si>
  <si>
    <t>horizontal lookup untuk mencari nilai di baris pertama suatu tabel data, lalu mengembalikan nilai yg sesuai di baris lain di kolom yg sama</t>
  </si>
  <si>
    <t>formula: =HLOOKUP(lookup_value ; table_array ; row_index_num ; [range_lookup])</t>
  </si>
  <si>
    <t>penjualan</t>
  </si>
  <si>
    <t>target</t>
  </si>
  <si>
    <t>jan</t>
  </si>
  <si>
    <t>feb</t>
  </si>
  <si>
    <t>mar</t>
  </si>
  <si>
    <t>rumus: =HLOOKUP("mar";D228:F230;2;FALSE)</t>
  </si>
  <si>
    <t>pencarian data yang lebih modern dibanding VLOOKUP &amp; HLOOKUP</t>
  </si>
  <si>
    <t>formula: =XLOOKUP(lookup_value ; lookup_array ; return_array ; [if_not_found] ; [match_found] ; [search_mode])</t>
  </si>
  <si>
    <t>score</t>
  </si>
  <si>
    <t>andi</t>
  </si>
  <si>
    <t>budi</t>
  </si>
  <si>
    <t>citra</t>
  </si>
  <si>
    <t>dewi</t>
  </si>
  <si>
    <t>rumus: =XLOOKUP("andi";C239:C242;D239:D242;"Not Found")</t>
  </si>
  <si>
    <t xml:space="preserve">KET: </t>
  </si>
  <si>
    <t xml:space="preserve">XLOOKUP </t>
  </si>
  <si>
    <t>total</t>
  </si>
  <si>
    <t>percy</t>
  </si>
  <si>
    <t>jackson</t>
  </si>
  <si>
    <t>annabeth</t>
  </si>
  <si>
    <t>lucas</t>
  </si>
  <si>
    <t>iris</t>
  </si>
  <si>
    <t>flora</t>
  </si>
  <si>
    <t>bee</t>
  </si>
  <si>
    <t>sza</t>
  </si>
  <si>
    <t xml:space="preserve">justin </t>
  </si>
  <si>
    <t>bieber</t>
  </si>
  <si>
    <t>mikaila</t>
  </si>
  <si>
    <t>sophia</t>
  </si>
  <si>
    <t>STDEV.P &amp; STDEV.S FUNCTION</t>
  </si>
  <si>
    <t>STDEV.P result</t>
  </si>
  <si>
    <t>STDEV.P (populasi) digunakan untuk menghitung simpangan baku seluruh populasi (dibagi dg (n)) -- dig. Saat data adl keseluruhan populasi (Ex: semua nilai ujian siswa sekelas)</t>
  </si>
  <si>
    <t>STDEV.S result</t>
  </si>
  <si>
    <t xml:space="preserve">(data yg digunakan mencakup semua anggota) </t>
  </si>
  <si>
    <t>STDEV.S (sampel) digunakan untuk sampel dari "populasi" (membagi dg (n-1)), yg memberikan estimasi lebih baik u/ populasi yg lebih besar -- dig. Sebagian kecil dari data populasi (ex: nilai ujian dr 30 siswa)</t>
  </si>
  <si>
    <t>(data yang digunakan hanya sebagian)</t>
  </si>
  <si>
    <r>
      <rPr>
        <b/>
        <sz val="11"/>
        <color theme="1"/>
        <rFont val="Calibri"/>
        <family val="2"/>
        <scheme val="minor"/>
      </rPr>
      <t xml:space="preserve">lookup_value = </t>
    </r>
    <r>
      <rPr>
        <sz val="11"/>
        <color theme="1"/>
        <rFont val="Calibri"/>
        <family val="2"/>
        <scheme val="minor"/>
      </rPr>
      <t>nilai yang ingin ditemukan - pada bulan "mar"</t>
    </r>
  </si>
  <si>
    <r>
      <rPr>
        <b/>
        <sz val="11"/>
        <color theme="1"/>
        <rFont val="Calibri"/>
        <family val="2"/>
        <scheme val="minor"/>
      </rPr>
      <t xml:space="preserve">table_array = </t>
    </r>
    <r>
      <rPr>
        <sz val="11"/>
        <color theme="1"/>
        <rFont val="Calibri"/>
        <family val="2"/>
        <scheme val="minor"/>
      </rPr>
      <t>rentang tabel; seluruh area tabel tempat pencarian dilakukan - di D228:F230</t>
    </r>
  </si>
  <si>
    <r>
      <rPr>
        <b/>
        <sz val="11"/>
        <color theme="1"/>
        <rFont val="Calibri"/>
        <family val="2"/>
        <scheme val="minor"/>
      </rPr>
      <t>row_index_num =</t>
    </r>
    <r>
      <rPr>
        <sz val="11"/>
        <color theme="1"/>
        <rFont val="Calibri"/>
        <family val="2"/>
        <scheme val="minor"/>
      </rPr>
      <t xml:space="preserve"> nomor baris di dalam table_array yg berisi nilai yg ingin di kembalikan (baris pertama table_array adl 1) - mengambil baris ke 2 dr penjualan</t>
    </r>
  </si>
  <si>
    <r>
      <rPr>
        <b/>
        <sz val="11"/>
        <color theme="1"/>
        <rFont val="Calibri"/>
        <family val="2"/>
        <scheme val="minor"/>
      </rPr>
      <t>range_lookup =</t>
    </r>
    <r>
      <rPr>
        <sz val="11"/>
        <color theme="1"/>
        <rFont val="Calibri"/>
        <family val="2"/>
        <scheme val="minor"/>
      </rPr>
      <t xml:space="preserve"> TRUE (mencari kecocokan perkiraan/mendekati) atau FALSE (mencari kecocokan yg persis, jika tdk ditemukan hasil #N/A)</t>
    </r>
  </si>
  <si>
    <r>
      <rPr>
        <b/>
        <sz val="11"/>
        <color theme="1"/>
        <rFont val="Calibri"/>
        <family val="2"/>
        <scheme val="minor"/>
      </rPr>
      <t xml:space="preserve">andi (lookup_value) = </t>
    </r>
    <r>
      <rPr>
        <sz val="11"/>
        <color theme="1"/>
        <rFont val="Calibri"/>
        <family val="2"/>
        <scheme val="minor"/>
      </rPr>
      <t>nilai yang ingin dicari</t>
    </r>
  </si>
  <si>
    <r>
      <rPr>
        <b/>
        <sz val="11"/>
        <color theme="1"/>
        <rFont val="Calibri"/>
        <family val="2"/>
        <scheme val="minor"/>
      </rPr>
      <t xml:space="preserve">C239:D242 (lookup_Array) = </t>
    </r>
    <r>
      <rPr>
        <sz val="11"/>
        <color theme="1"/>
        <rFont val="Calibri"/>
        <family val="2"/>
        <scheme val="minor"/>
      </rPr>
      <t>range kolom tempat mencari nam</t>
    </r>
  </si>
  <si>
    <r>
      <rPr>
        <b/>
        <sz val="11"/>
        <color theme="1"/>
        <rFont val="Calibri"/>
        <family val="2"/>
        <scheme val="minor"/>
      </rPr>
      <t xml:space="preserve">D239:D242 (return_array) = </t>
    </r>
    <r>
      <rPr>
        <sz val="11"/>
        <color theme="1"/>
        <rFont val="Calibri"/>
        <family val="2"/>
        <scheme val="minor"/>
      </rPr>
      <t>kolom nilai yang ingin di tampilkan</t>
    </r>
  </si>
  <si>
    <r>
      <rPr>
        <b/>
        <sz val="11"/>
        <color theme="1"/>
        <rFont val="Calibri"/>
        <family val="2"/>
        <scheme val="minor"/>
      </rPr>
      <t xml:space="preserve">"Not Found" = </t>
    </r>
    <r>
      <rPr>
        <sz val="11"/>
        <color theme="1"/>
        <rFont val="Calibri"/>
        <family val="2"/>
        <scheme val="minor"/>
      </rPr>
      <t xml:space="preserve">teks akan di tampilkan jika nama yg di cari tidak ada </t>
    </r>
  </si>
  <si>
    <t>PIVOT TABLE</t>
  </si>
  <si>
    <t>Row Labels</t>
  </si>
  <si>
    <t>Grand Total</t>
  </si>
  <si>
    <t>Column Labels</t>
  </si>
  <si>
    <t>Bulan</t>
  </si>
  <si>
    <t>Area</t>
  </si>
  <si>
    <t>Penjualan</t>
  </si>
  <si>
    <t>Jan</t>
  </si>
  <si>
    <t>Honda</t>
  </si>
  <si>
    <t>Jakarta</t>
  </si>
  <si>
    <t>Bandung</t>
  </si>
  <si>
    <t>Feb</t>
  </si>
  <si>
    <t>Surabaya</t>
  </si>
  <si>
    <t>Suzuki</t>
  </si>
  <si>
    <t>Mar</t>
  </si>
  <si>
    <t>Apr</t>
  </si>
  <si>
    <t>Sum of Penjualan</t>
  </si>
  <si>
    <t>Merek</t>
  </si>
  <si>
    <t>Tipe</t>
  </si>
  <si>
    <t>Stok Terjual</t>
  </si>
  <si>
    <t>Pajak Kadaluwarsa</t>
  </si>
  <si>
    <t>Harga Modal</t>
  </si>
  <si>
    <t>Toyota</t>
  </si>
  <si>
    <t>Avanza</t>
  </si>
  <si>
    <t>Innova</t>
  </si>
  <si>
    <t>Land Cruiser</t>
  </si>
  <si>
    <t>Jazz</t>
  </si>
  <si>
    <t>CRV</t>
  </si>
  <si>
    <t>Brio</t>
  </si>
  <si>
    <t>Ertiga</t>
  </si>
  <si>
    <t>Swift</t>
  </si>
  <si>
    <t>Mitsubishi</t>
  </si>
  <si>
    <t>Xpander</t>
  </si>
  <si>
    <t>Pajero</t>
  </si>
  <si>
    <t>Nissan</t>
  </si>
  <si>
    <t>March</t>
  </si>
  <si>
    <t>Juke</t>
  </si>
  <si>
    <t>Sum of Harga Modal</t>
  </si>
  <si>
    <t>KETERANGAN &amp; PENJELASAN</t>
  </si>
  <si>
    <t>Sum of Penjualan Bersih</t>
  </si>
  <si>
    <t>Sum of PPN</t>
  </si>
  <si>
    <t>Rumus PPN = Penjualan * 11%</t>
  </si>
  <si>
    <t>Rumus Penjualan Bersih = Penjualan - Harga Modal</t>
  </si>
  <si>
    <t>Rumus Laba Bersih = 20% * (Penjualan - Harga Modal)</t>
  </si>
  <si>
    <t>Sum of Laba Bersih</t>
  </si>
  <si>
    <t>filter calculation dalam pivot table berfungsi untuk memberikan rumus dalam pivot table</t>
  </si>
  <si>
    <t>KET: TATA CARA</t>
  </si>
  <si>
    <t>1) Klik salah satu kolom dalam pivot table</t>
  </si>
  <si>
    <t>2) Pilih PivotTable Analyze</t>
  </si>
  <si>
    <t>3) Dalam bagian  Calculation, pilih 'Fields, Items, &amp; Sets'</t>
  </si>
  <si>
    <t>4) Pilih 'Calculation Fields'</t>
  </si>
  <si>
    <t>5) Lalu akan muncul bagian dengan 'Name, Formula, &amp; Fields'</t>
  </si>
  <si>
    <t>6) Pada bagian "Name" masukkan nama fields baru yg ingin dibuat (ex: Penjualan Bersih)</t>
  </si>
  <si>
    <t>7) Bagian "Formula" masukkan rumus yang ingin dihitung dengan cara 8</t>
  </si>
  <si>
    <t>8) Bagian "Fields" pilih Fields yang cocok untuk rumus sebelumnya dg menekan insert fields (ex: Penjualan - Harga Modal)</t>
  </si>
  <si>
    <t>9) Jika sudah selesai, klik add, lali klik ok. Maka fields baru hasil dari rumus akan muncul pada pivot table</t>
  </si>
  <si>
    <t>10) semua perhitungan dapat dilakukan mengguanakan cara sebelumnya</t>
  </si>
  <si>
    <t>FILTER DATA IN PIVOT TABLE</t>
  </si>
  <si>
    <t>INPUT FILTER</t>
  </si>
  <si>
    <t>USING CALCULATION FIELDS</t>
  </si>
  <si>
    <t>Sum of Stok Terjual</t>
  </si>
  <si>
    <t xml:space="preserve">1) Dalam "Rows Labels &amp; Coloumns Labels", tinggal klik tanda panah. kita dapat memilih ingin menggunakan filter apa, menampilkan atau menyembunyikan data </t>
  </si>
  <si>
    <t>2) Dalam filter ini bisa digunakan untuk filtering bermacam-macam. Jika ingin menampilkan data dengan huruf tertentu atau sebagainya</t>
  </si>
  <si>
    <t xml:space="preserve">3) Menggunakan "Box Filter" yang ada di kiri pojok Pivot Tabel. Misal "merek" di masukkan ke filter box. </t>
  </si>
  <si>
    <t>UPDATE DATA PIVOT TABLE</t>
  </si>
  <si>
    <t>Des</t>
  </si>
  <si>
    <t>Nov</t>
  </si>
  <si>
    <t>Hyundai</t>
  </si>
  <si>
    <t>Creta</t>
  </si>
  <si>
    <t>Palisade</t>
  </si>
  <si>
    <t>Makassar</t>
  </si>
  <si>
    <t>Manado</t>
  </si>
  <si>
    <t>(Multiple Items)</t>
  </si>
  <si>
    <t>KET: UPDATE DATA PIVOT TABLE</t>
  </si>
  <si>
    <t>1) Sebelum membuat Pivot Table, ubah data RAW menjadi format "Table" dengan klik CTRL + T</t>
  </si>
  <si>
    <t>2) Setelah berubah, lakukan langkah biasa dalam membuat pivot tabel. Select all -- Insert -- Pivot Table</t>
  </si>
  <si>
    <t>3) Input data "Tambahan" ke data RAW table</t>
  </si>
  <si>
    <t xml:space="preserve">4) Setelah itu, kembali ke Pivot Table yang telah dibuat sebelumnya. </t>
  </si>
  <si>
    <t>5) Klik "PivotTable Analyze" pilih "Refresh", Pivot Table akan otomatis menambah atau upgrade data tambahan sebelumnya ke Pivot Table</t>
  </si>
  <si>
    <t>KET: FILTERING</t>
  </si>
  <si>
    <t>KETERANGAN PIVOT TABLE LAINNYA</t>
  </si>
  <si>
    <t>6) Setelah ini, Pivot Table akan selalu otomastis mengupgrade data apabila ada data tambahan. Tetapi pastikan untuk me-Refresh Pivot Table</t>
  </si>
  <si>
    <t>5) Detail Data = Klik 2x data / angka yang ingin di liat detailnya -- otomatis akan terbuka sheets baru, yg berisi detail data apa saja dalam field tersebut (ex: Data Sum of Penjualan dari mobil Honda)</t>
  </si>
  <si>
    <t xml:space="preserve">10) Urutan Data Pivot Table Fields (A-Z) = Klik kolom tabel pivot -- klik setting -- pilih Sort A to Z </t>
  </si>
  <si>
    <t>14) Delete Grand Total or Sub Total Pivot = Klik kolom table pivot -- PivotTable Design -- Grand Totals / Subtotals -- Off for Rows and Columns (Gran Totals) and Do Not Show Subtotals (Sub Totals)</t>
  </si>
  <si>
    <t>15) Raport Layout = Mengubah Layout Pivot Table. ( Klik kolom table pivot -- PivotTable Design -- Report Layout -- Pilih Layout yg diinginkan)</t>
  </si>
  <si>
    <t>Klik kolom pivot table -- Pivot Table Fields -- Bagian bawah sendiri (Defer Layout Update) centang -- (ex: pilih beberapa data yang akan di masukkan ke pivot table) -- Klik Update (untuk melakukan Update data secara bersamaan)</t>
  </si>
  <si>
    <t>(All)</t>
  </si>
  <si>
    <r>
      <rPr>
        <b/>
        <sz val="12"/>
        <color theme="1"/>
        <rFont val="Calibri"/>
        <family val="2"/>
        <scheme val="minor"/>
      </rPr>
      <t>2) Expand Field =</t>
    </r>
    <r>
      <rPr>
        <sz val="12"/>
        <color theme="1"/>
        <rFont val="Calibri"/>
        <family val="2"/>
        <scheme val="minor"/>
      </rPr>
      <t xml:space="preserve"> Digunakan untuk membuaka semua data dalam pivot table. </t>
    </r>
    <r>
      <rPr>
        <b/>
        <sz val="12"/>
        <color theme="1"/>
        <rFont val="Calibri"/>
        <family val="2"/>
        <scheme val="minor"/>
      </rPr>
      <t>(pivottable analyze -- active field -- expand field)</t>
    </r>
  </si>
  <si>
    <r>
      <rPr>
        <b/>
        <sz val="12"/>
        <color theme="1"/>
        <rFont val="Calibri"/>
        <family val="2"/>
        <scheme val="minor"/>
      </rPr>
      <t>1) Collapse Field =</t>
    </r>
    <r>
      <rPr>
        <sz val="12"/>
        <color theme="1"/>
        <rFont val="Calibri"/>
        <family val="2"/>
        <scheme val="minor"/>
      </rPr>
      <t xml:space="preserve"> Digunakan untuk minimize semua data dalam pivot table.</t>
    </r>
    <r>
      <rPr>
        <b/>
        <sz val="12"/>
        <color theme="1"/>
        <rFont val="Calibri"/>
        <family val="2"/>
        <scheme val="minor"/>
      </rPr>
      <t xml:space="preserve"> (pivottable analyze -- active field -- collapse field)</t>
    </r>
  </si>
  <si>
    <r>
      <rPr>
        <b/>
        <sz val="12"/>
        <color theme="1"/>
        <rFont val="Calibri"/>
        <family val="2"/>
        <scheme val="minor"/>
      </rPr>
      <t>3) Sort =</t>
    </r>
    <r>
      <rPr>
        <sz val="12"/>
        <color theme="1"/>
        <rFont val="Calibri"/>
        <family val="2"/>
        <scheme val="minor"/>
      </rPr>
      <t xml:space="preserve"> Mengurutkan banyak (stok terjual) dari terkecil ke terbesar atau sebaliknya. </t>
    </r>
    <r>
      <rPr>
        <b/>
        <sz val="12"/>
        <color theme="1"/>
        <rFont val="Calibri"/>
        <family val="2"/>
        <scheme val="minor"/>
      </rPr>
      <t xml:space="preserve">(klik kanan pada kolom pivot table -- pilih smallest to largest or largest to smallest) </t>
    </r>
  </si>
  <si>
    <r>
      <rPr>
        <b/>
        <sz val="12"/>
        <color theme="1"/>
        <rFont val="Calibri"/>
        <family val="2"/>
        <scheme val="minor"/>
      </rPr>
      <t>4) Mengubah Value Data =</t>
    </r>
    <r>
      <rPr>
        <sz val="12"/>
        <color theme="1"/>
        <rFont val="Calibri"/>
        <family val="2"/>
        <scheme val="minor"/>
      </rPr>
      <t xml:space="preserve"> Mengubah value data, misal dari SUM ke AVERAGE atau lainnya. </t>
    </r>
    <r>
      <rPr>
        <b/>
        <sz val="12"/>
        <color theme="1"/>
        <rFont val="Calibri"/>
        <family val="2"/>
        <scheme val="minor"/>
      </rPr>
      <t>(klik pivot table -- pada value SUM of Penjualan -- klik ikon segitiga terbalik-- value field settings -- pilih SUM/AVERAGE/LAINNYA)</t>
    </r>
  </si>
  <si>
    <r>
      <rPr>
        <b/>
        <sz val="12"/>
        <color theme="1"/>
        <rFont val="Calibri"/>
        <family val="2"/>
        <scheme val="minor"/>
      </rPr>
      <t>6) Persentase =</t>
    </r>
    <r>
      <rPr>
        <sz val="12"/>
        <color theme="1"/>
        <rFont val="Calibri"/>
        <family val="2"/>
        <scheme val="minor"/>
      </rPr>
      <t xml:space="preserve"> Jika ingin mengubah (Sum of Penjualan) menjadi persentase / (melihat berapa persen merek mobil penjualan berkontribusi pada total penjualan). </t>
    </r>
    <r>
      <rPr>
        <b/>
        <sz val="12"/>
        <color theme="1"/>
        <rFont val="Calibri"/>
        <family val="2"/>
        <scheme val="minor"/>
      </rPr>
      <t>(Klik kanan pada kolom pivot table -- pilih Show Values As -- pilih persentase yang diinginkan)</t>
    </r>
  </si>
  <si>
    <r>
      <rPr>
        <b/>
        <sz val="12"/>
        <color theme="1"/>
        <rFont val="Calibri"/>
        <family val="2"/>
        <scheme val="minor"/>
      </rPr>
      <t>7) Ranking =</t>
    </r>
    <r>
      <rPr>
        <sz val="12"/>
        <color theme="1"/>
        <rFont val="Calibri"/>
        <family val="2"/>
        <scheme val="minor"/>
      </rPr>
      <t xml:space="preserve"> Melihat ranking pada (ex: penjualan). </t>
    </r>
    <r>
      <rPr>
        <b/>
        <sz val="12"/>
        <color theme="1"/>
        <rFont val="Calibri"/>
        <family val="2"/>
        <scheme val="minor"/>
      </rPr>
      <t>(Klik kanan pd pivot tabel -- pilih Show Value As -- pilih Rank Largest to Smallest or Smallest to Largest)</t>
    </r>
  </si>
  <si>
    <r>
      <rPr>
        <b/>
        <sz val="12"/>
        <color theme="1"/>
        <rFont val="Calibri"/>
        <family val="2"/>
        <scheme val="minor"/>
      </rPr>
      <t>8) Chart Pivot =</t>
    </r>
    <r>
      <rPr>
        <sz val="12"/>
        <color theme="1"/>
        <rFont val="Calibri"/>
        <family val="2"/>
        <scheme val="minor"/>
      </rPr>
      <t xml:space="preserve"> Membuat Chart Pivot.</t>
    </r>
    <r>
      <rPr>
        <b/>
        <sz val="12"/>
        <color theme="1"/>
        <rFont val="Calibri"/>
        <family val="2"/>
        <scheme val="minor"/>
      </rPr>
      <t xml:space="preserve"> (pilih kolom di pivot table -- PivotTable Analyze -- PivotChart --Pilih Chart yg diinginkan)</t>
    </r>
  </si>
  <si>
    <r>
      <rPr>
        <b/>
        <sz val="12"/>
        <color theme="1"/>
        <rFont val="Calibri"/>
        <family val="2"/>
        <scheme val="minor"/>
      </rPr>
      <t>9) Change Pivot Table Fields =</t>
    </r>
    <r>
      <rPr>
        <sz val="12"/>
        <color theme="1"/>
        <rFont val="Calibri"/>
        <family val="2"/>
        <scheme val="minor"/>
      </rPr>
      <t xml:space="preserve"> </t>
    </r>
    <r>
      <rPr>
        <b/>
        <sz val="12"/>
        <color theme="1"/>
        <rFont val="Calibri"/>
        <family val="2"/>
        <scheme val="minor"/>
      </rPr>
      <t>Klik kolom tabel pivot -- klik setting -- pilih tampilan fields yg diinginkan</t>
    </r>
  </si>
  <si>
    <r>
      <rPr>
        <b/>
        <sz val="12"/>
        <color theme="1"/>
        <rFont val="Calibri"/>
        <family val="2"/>
        <scheme val="minor"/>
      </rPr>
      <t>11) Menambah Slicer =</t>
    </r>
    <r>
      <rPr>
        <sz val="12"/>
        <color theme="1"/>
        <rFont val="Calibri"/>
        <family val="2"/>
        <scheme val="minor"/>
      </rPr>
      <t xml:space="preserve"> Melakukan Filtering dengan lebih mudah. </t>
    </r>
    <r>
      <rPr>
        <b/>
        <sz val="12"/>
        <color theme="1"/>
        <rFont val="Calibri"/>
        <family val="2"/>
        <scheme val="minor"/>
      </rPr>
      <t xml:space="preserve">(Klik table pivot -- PivotTable Analyze -- Insert Slicer -- pilih Slicer/dimensi/ informasi apa yg diinginkan (ex: bulan/merek/tipe) -- klik shift/multiselect (ex: pada bulan/merek/tipe) jika pilih lebih dari satu filtering </t>
    </r>
  </si>
  <si>
    <r>
      <rPr>
        <b/>
        <sz val="12"/>
        <color theme="1"/>
        <rFont val="Calibri"/>
        <family val="2"/>
        <scheme val="minor"/>
      </rPr>
      <t>12) Menambahkan Timeline =</t>
    </r>
    <r>
      <rPr>
        <sz val="12"/>
        <color theme="1"/>
        <rFont val="Calibri"/>
        <family val="2"/>
        <scheme val="minor"/>
      </rPr>
      <t xml:space="preserve"> Menambahkan timeline.</t>
    </r>
    <r>
      <rPr>
        <b/>
        <sz val="12"/>
        <color theme="1"/>
        <rFont val="Calibri"/>
        <family val="2"/>
        <scheme val="minor"/>
      </rPr>
      <t xml:space="preserve"> (Klik table pivot -- PivotTable Analyze -- Insert Timeline -- muncul data yg berisi DATE/ Tanggal -- pilih timeline)</t>
    </r>
  </si>
  <si>
    <r>
      <rPr>
        <b/>
        <sz val="12"/>
        <color theme="1"/>
        <rFont val="Calibri"/>
        <family val="2"/>
        <scheme val="minor"/>
      </rPr>
      <t>13) Grouping/Clustering Data =</t>
    </r>
    <r>
      <rPr>
        <sz val="12"/>
        <color theme="1"/>
        <rFont val="Calibri"/>
        <family val="2"/>
        <scheme val="minor"/>
      </rPr>
      <t xml:space="preserve">  Membuat (ex: merek honda &amp; mitsubishi) dalam satu group. </t>
    </r>
    <r>
      <rPr>
        <b/>
        <sz val="12"/>
        <color theme="1"/>
        <rFont val="Calibri"/>
        <family val="2"/>
        <scheme val="minor"/>
      </rPr>
      <t>(Pilih Range merek yang diinginkan untuk menjadi satu group -- klik kanan -- pilih group)</t>
    </r>
  </si>
  <si>
    <r>
      <rPr>
        <b/>
        <sz val="12"/>
        <color theme="1"/>
        <rFont val="Calibri"/>
        <family val="2"/>
        <scheme val="minor"/>
      </rPr>
      <t>16) Defer Layout Update =</t>
    </r>
    <r>
      <rPr>
        <sz val="12"/>
        <color theme="1"/>
        <rFont val="Calibri"/>
        <family val="2"/>
        <scheme val="minor"/>
      </rPr>
      <t xml:space="preserve"> Digunakan untuk menunda pembaruan tampilan/perhitungan data sehingga meningkatkan performa/ tidak membuat Excel menjadi Lemot saat pembaruan apabila menggunakan data yg besar/kompleks</t>
    </r>
  </si>
  <si>
    <t xml:space="preserve">KETERANGAN LAIN TTG PIVOT TABLE: </t>
  </si>
  <si>
    <t>EXCEL CHART</t>
  </si>
  <si>
    <t xml:space="preserve">Charts merupakan representasi visual dari data untuk membuatnya lebih mudah dimengerti </t>
  </si>
  <si>
    <t xml:space="preserve">  </t>
  </si>
  <si>
    <t>hp</t>
  </si>
  <si>
    <t>attack</t>
  </si>
  <si>
    <t>defense</t>
  </si>
  <si>
    <t>speed</t>
  </si>
  <si>
    <t>buldasaur</t>
  </si>
  <si>
    <t>charmander</t>
  </si>
  <si>
    <t>squirtle</t>
  </si>
  <si>
    <t>BAR CHARTS</t>
  </si>
  <si>
    <t>Bar Chart digunakan ketika VALUE data itu PENTING tetapi order/urutan data TIDAK PENTING</t>
  </si>
  <si>
    <t xml:space="preserve">    Type</t>
  </si>
  <si>
    <t>Count Gen1</t>
  </si>
  <si>
    <t>Count Gen 2</t>
  </si>
  <si>
    <t xml:space="preserve">    Grass</t>
  </si>
  <si>
    <t xml:space="preserve">    Fire</t>
  </si>
  <si>
    <t xml:space="preserve">    Water</t>
  </si>
  <si>
    <t xml:space="preserve">    Bug</t>
  </si>
  <si>
    <t>1) Pilih Range D297:E301</t>
  </si>
  <si>
    <t>KET: 1 Data Columns</t>
  </si>
  <si>
    <t>KET: 2 Data Columns</t>
  </si>
  <si>
    <t>1) Pilih Range D297:F301</t>
  </si>
  <si>
    <t>STACKED BAR CHARTS</t>
  </si>
  <si>
    <t>1) Pilih Range D318:F322</t>
  </si>
  <si>
    <t xml:space="preserve">OUTPUT: </t>
  </si>
  <si>
    <t>Grafik memberikan gambar visual tentang jumlah Pokemon tipe grass, fire, water, bug pada Gen 1 &amp; 2. Gen 1 ditunjukkan dg warna biru, dan Gen 2 dengan warna orange dalam satu Bagan grafik</t>
  </si>
  <si>
    <t>COLUMNS CHARTS</t>
  </si>
  <si>
    <t xml:space="preserve">Columns Charts adl visualisasi data yg menggunakan batang2 vertikal/kolom u/ membandingkan nilai antar kategori/melacak perubahan data dari waktu ke waktu. </t>
  </si>
  <si>
    <t>Grafik ini cocok untuk merepresentasikan nilai data kualitatif atau kategorikal</t>
  </si>
  <si>
    <t>CLUSTERED COLUMN CHARTS</t>
  </si>
  <si>
    <t>Clustered Column charts digunakan ketika VALUE dari data itu PENTING tetapi urutan data TIDAK</t>
  </si>
  <si>
    <t>STACKED COLUMNS CHARTS</t>
  </si>
  <si>
    <t>Stacked bar charts adl visualisasi data yg menampilkan beberapa seri data dalam satu batang horizontal, dmn segmen2 batang ditumpuk u/ menunjukkan komposisi setiap bagian dr keseluruhan</t>
  </si>
  <si>
    <t xml:space="preserve">Stacked Columns charts digunakan untuk menyoroti jumlah total kontribusi untuk setiap kategori. Dilakukan dg menumpuk kolom satu dg lainnya. Digunakan ketika memiliki lebih dari satu kolom data. </t>
  </si>
  <si>
    <t>2) Insert -- Bar Menu -- pilih 2D Columns -- Clustered Columns - done</t>
  </si>
  <si>
    <t>2) Insert -- Bar Menu -- 2D Bar -- pilih Stacked bar - - done</t>
  </si>
  <si>
    <t>2) Insert -- Bar Menu -- 2D Bar -- pilih Clustered Bar - done</t>
  </si>
  <si>
    <t>1) Pilih Range E241:G345</t>
  </si>
  <si>
    <t>1) Pilih Range Table E363:G367</t>
  </si>
  <si>
    <t>2) Insert -- Bar Menu -- pilih D2 Column -- Stacked Column -- done</t>
  </si>
  <si>
    <t>OUTPUT:</t>
  </si>
  <si>
    <t>Bagan menunjukkan bahwa Pokemon tipe Air adl yg paling umum dan tipe Api yg paling jarang</t>
  </si>
  <si>
    <t>100% STACKED COLUMNS CHARTS</t>
  </si>
  <si>
    <t>100% Stacked Charts adl grafik kolom yg menunjukkan proporsi setiap sub kategori dlm sebuah kategori, dimana total setiap kolom selalu 100%.</t>
  </si>
  <si>
    <t xml:space="preserve">Grafik membantu melihat presentase kontribusi setiap segmen thd keseluruhan (total 100%) dlm setiap kolom vertikal, bukan nilai absolutnya. </t>
  </si>
  <si>
    <t>Region</t>
  </si>
  <si>
    <t>Apparel</t>
  </si>
  <si>
    <t>Electronics</t>
  </si>
  <si>
    <t>Accessories</t>
  </si>
  <si>
    <t>East</t>
  </si>
  <si>
    <t>West</t>
  </si>
  <si>
    <t>North</t>
  </si>
  <si>
    <t>South</t>
  </si>
  <si>
    <t>1) Pilih Range Table E383:H387</t>
  </si>
  <si>
    <t>2) Insert -- Bar Menu -- pilih D2 Column -- 100% Stacked Column -- done</t>
  </si>
  <si>
    <t xml:space="preserve">Region North paling banyak di duduki oleh kategori apparel dengan persentase 50%. Sedangkan di Sout, lebih banyak di duduki oleh kategori Electronics dengan persentase 50%. </t>
  </si>
  <si>
    <t>PIE CHART</t>
  </si>
  <si>
    <t xml:space="preserve">Diagram menunjukkan kontribusi setiap kategori thd total </t>
  </si>
  <si>
    <t>Pie Chart/ diagram lingkaran adl visualisasi data dengan menyusun data sebagai irisan dlm sebuah lingkaran. Diagram ini digunakan untuk merepresentasikan nilai data. kualitatif (kategorikal)</t>
  </si>
  <si>
    <t>2-D PIE</t>
  </si>
  <si>
    <t>Pie Chart 2-D digunakan ketika data yg dipakai hanya memiliki satu kolom data</t>
  </si>
  <si>
    <t>1) Pilih range data yang di inginkan</t>
  </si>
  <si>
    <t>2) Pilih Insert -- Charts -- 2D Pie Charts -- done</t>
  </si>
  <si>
    <t>Diketahui bahwa pada Type Gen 1, paling banyak berada di kategori Water, yaitu 30 data</t>
  </si>
  <si>
    <t>DOUGHNUT CHART</t>
  </si>
  <si>
    <t>Diagram Donat adl visualisasi data sbg irisan dlm lingkaran dg bagian tengah berongga. Digunakan ketika memiliki lebih dari satu kolom data</t>
  </si>
  <si>
    <t>2) Pilih Insert -- Charts --  Doughnut Charts -- done</t>
  </si>
  <si>
    <t xml:space="preserve">Chart memberikan gambaran Type Gen  1&amp;2. Gen 1 Type ditampilkan di lingkaran dalam, dan Gen 2 di lingkaran luar. </t>
  </si>
  <si>
    <t xml:space="preserve">Grafik  menujukkan bahw Type Water adl yang paling umum di ke dua Generasi tersebut. </t>
  </si>
  <si>
    <t xml:space="preserve">3-D PIE CHART </t>
  </si>
  <si>
    <t xml:space="preserve">3D Pie Chart adl grafik lingkaran berbentuk 3D. Digunakan u/ proporsi atau persentase. </t>
  </si>
  <si>
    <t>Penjualan (Juta)</t>
  </si>
  <si>
    <t>Barat</t>
  </si>
  <si>
    <t>Timur</t>
  </si>
  <si>
    <t>Utara</t>
  </si>
  <si>
    <t>Selatan</t>
  </si>
  <si>
    <t>2) Pilih Insert -- Charts --3D Pie Charts -- done</t>
  </si>
  <si>
    <t xml:space="preserve">Membandingkan bagian thd total, dan cocok untuk 1 kategori saja. Tidak untuk perbandingan data waktu(bulan) atau tren. </t>
  </si>
  <si>
    <t>Penjualan paling tinggi ada di area Utara yaitu 34%, sedangkan di area Selatan, penjualan hanya sekitar 18%</t>
  </si>
  <si>
    <t>LINE CHARTS</t>
  </si>
  <si>
    <t>Line Charts menunjukkan data sbg garis kontinu, digunakan untuk menujukkan tren dari waktu ke waktu.</t>
  </si>
  <si>
    <t xml:space="preserve">Pada grafik ini, sumbu horizontal mewakili waktu, digunakan dengan data  yang dapat diurutkan  dr rendah ke tinggi. </t>
  </si>
  <si>
    <t>LINE</t>
  </si>
  <si>
    <t>Line charts digunakan untuk menunjukkan order data dari rendah ke tinggi</t>
  </si>
  <si>
    <t>bulbasaur</t>
  </si>
  <si>
    <t>ivysaur</t>
  </si>
  <si>
    <t>venusaur</t>
  </si>
  <si>
    <t xml:space="preserve">1)Pilih range data </t>
  </si>
  <si>
    <t>2) Pilih Insert -- Line Chart -- 2D Chart -- Chart Design -- Switch Row/Column -- done</t>
  </si>
  <si>
    <t xml:space="preserve">Note: </t>
  </si>
  <si>
    <t xml:space="preserve">Digunakan Switch Row/Column untuk switch data dari baris menjadi kolom, dan sebaliknya. (ex: name menjadi dumbu horizontal) </t>
  </si>
  <si>
    <t>LINE WITH MARKERS</t>
  </si>
  <si>
    <t>Line with Markers chart adl grafik garis yg dilengkapi dg penanda (titik) di setiap data point. Digunakan u/ melihat tren sekaligus menegaskan tiap nilai data</t>
  </si>
  <si>
    <t>bulan</t>
  </si>
  <si>
    <t>apr</t>
  </si>
  <si>
    <t>motor A</t>
  </si>
  <si>
    <t>motor B</t>
  </si>
  <si>
    <t>2) Pilih Insert -- Line Chart -- Line With Markers -- done</t>
  </si>
  <si>
    <t>Menggunakan Line Marker apabila jml data tdk terlalu banyak</t>
  </si>
  <si>
    <t xml:space="preserve">Motor A (garis biru) dan Motor B (garis orange). </t>
  </si>
  <si>
    <t>Setiap Marker menunjukkanilai penjualan per bulan</t>
  </si>
  <si>
    <t>Penjualan motor A paling tinggi di bulan Maret, dan Motor B di bulan April</t>
  </si>
  <si>
    <t>STACKED LINE CHART</t>
  </si>
  <si>
    <t>Stacked Line Charts adl grafik yg menampilkan perkembangan data dari waktu ke waktu. Nilai tiap seri akan saling tumpuk (Akumulatif)</t>
  </si>
  <si>
    <t xml:space="preserve">Garis menunjukkan total gabungan semua seri. </t>
  </si>
  <si>
    <t>Cocok u/ melihat kontribusi tiap kategori thd total</t>
  </si>
  <si>
    <t xml:space="preserve">1) Pilih range data </t>
  </si>
  <si>
    <t>motor C</t>
  </si>
  <si>
    <t>2) Pilih Insert -- Line Chart --Stacked Line Chart -- done</t>
  </si>
  <si>
    <t>STACKED LINE WITH MARKERS</t>
  </si>
  <si>
    <t xml:space="preserve">Stacked Line with Markers adl grafik yg sama dengan stacked line tetapi memiliki titik penanda (markers) di setiap data nya. </t>
  </si>
  <si>
    <t xml:space="preserve">Grafik ini lebih mudah digunakan untuk melihat nilai tertentu. </t>
  </si>
  <si>
    <t>2) Pilih Insert -- Line Chart --Stacked Line with Markers -- done</t>
  </si>
  <si>
    <t>Berfokus pada total dan kontribusi, bkn perbandingan antar garis scr terpisah</t>
  </si>
  <si>
    <t>Melihat tren dan titik data sepesifik.  Berfokus pada total + detail per titik.</t>
  </si>
  <si>
    <t>100% STACKED LINE</t>
  </si>
  <si>
    <t xml:space="preserve">100% Stacked Line adl grafik yg menampilkan persentase setiap seri data thdp total keseluruhan pd setiap kategori. </t>
  </si>
  <si>
    <t>Fokus pada komposisi/kontribusi, bukan nilai asli. Total semua garis pd satu titik selalu 100%</t>
  </si>
  <si>
    <t>1) Blok range data yg diinginkan</t>
  </si>
  <si>
    <t>2) Pilih Insert -- Line Chart -- 100% Stacked Line</t>
  </si>
  <si>
    <t xml:space="preserve">Digunakan untuk melihat perubahan kontribusi tiap kategori dari waktu ke waktu </t>
  </si>
  <si>
    <t>ex: kontribusi penjualan motor A,B,C per bulan</t>
  </si>
  <si>
    <t>100% STACKED LINE WITH MARKERS</t>
  </si>
  <si>
    <t xml:space="preserve">100% Stacked with Markers dama seperti 100% stacked line chart, hanya ditambah titik (marker) di setiap data. </t>
  </si>
  <si>
    <t xml:space="preserve">mudah melihat posisi data tiap kategori. </t>
  </si>
  <si>
    <t>2) Pilih Insert -- Line Chart -- 100% Stacked Line with Markers</t>
  </si>
  <si>
    <t xml:space="preserve">Digunakan pd data yg tidak terlalu padat &amp; presentasi visual lebih jelas. </t>
  </si>
  <si>
    <t>RADAR CHARTS</t>
  </si>
  <si>
    <t>Radar Chart (Spider Chart / Web Chart) adl grafik yg digunakan u/ membandingkan beberapa variabel/kriteria sekaligus dlm satu objek.</t>
  </si>
  <si>
    <t>Cocok  u/ melihat profil, performa, atau perbandingan multi-kriteria, bukan tren waktu.</t>
  </si>
  <si>
    <t>Data Multivariat memiliki lebih dari satu variabel, ex: dataset berisi usia &amp; tinggi badan, krn data memiliki 2 variabel</t>
  </si>
  <si>
    <t>RADAR CHART</t>
  </si>
  <si>
    <t xml:space="preserve">    Name</t>
  </si>
  <si>
    <t>HP</t>
  </si>
  <si>
    <t>Attack</t>
  </si>
  <si>
    <t>Defense</t>
  </si>
  <si>
    <t>Sp. Atk</t>
  </si>
  <si>
    <t>Sp. Def</t>
  </si>
  <si>
    <t xml:space="preserve">    Bulbasaur</t>
  </si>
  <si>
    <t xml:space="preserve">    Charmander</t>
  </si>
  <si>
    <t xml:space="preserve">    Squirtle</t>
  </si>
  <si>
    <t xml:space="preserve">2) Pilih Insert -- Radar Chart -- Radar </t>
  </si>
  <si>
    <t>RADAR WITH MARKERS</t>
  </si>
  <si>
    <t>2) Pilih Insert -- Radar Chart -- Radar With Markers</t>
  </si>
  <si>
    <t>FILLED RADAR</t>
  </si>
  <si>
    <t xml:space="preserve">Radar with Marker sama seperti Radar Charts, tetapi memiliki titik point untuk setiap datanya. Lebih jelas untuk presentasi. </t>
  </si>
  <si>
    <t>Radar grafik menampilkan data sbg titik2 sudut pd sebuah poligon. Fokus ke perbandingan nilai.</t>
  </si>
  <si>
    <t>Sama seperti Radar chart, yg membedakan hanya di dalam radar chart area terisi dengan warna. Mudah melihat dominasi, tp terkadang rawan ovelap.</t>
  </si>
  <si>
    <t>2) Pilih Insert -- Radar Chart -- Filled Radar</t>
  </si>
  <si>
    <t>NOTE: PEMBACAAN RADAR CHART</t>
  </si>
  <si>
    <t>1) Setiap sumbu mewakili 1 kategori</t>
  </si>
  <si>
    <t>3) Garis membentuk pola tertutup</t>
  </si>
  <si>
    <t>4) Semakin LUAS AREA --&gt; Performa makin BAIK</t>
  </si>
  <si>
    <t>2) Nilai SEMAKIN ke LUAR --&gt; Semakin BESAR</t>
  </si>
  <si>
    <t>CALCULATE NPV Using EXCEL</t>
  </si>
  <si>
    <t>NPV (Net Present Value) adl matriks keuangan yg mengukur nilai SEKARANG dari TOTAL ARUS kas masa depan dengan mempertimbangkan tingkat diskon (interest rate).</t>
  </si>
  <si>
    <t>Biasa digunakan untuk: Analisis Investasi, Menilai kelayakan proyek, &amp; Membandingkan beberapa pilihan investasi.</t>
  </si>
  <si>
    <t>Prinsip Sederhananya: Uang Hari Ini lebih berharga daripada Uang Masa Depan</t>
  </si>
  <si>
    <t>Rumus: =NPV(rate; value1; [value2]; ….)</t>
  </si>
  <si>
    <t>NPV = Rt / (1+ i) ^t</t>
  </si>
  <si>
    <t>R = Pengembalian yg mendefinisikan pendapatan, brp banyak yg telah dihasilkan</t>
  </si>
  <si>
    <t>t = Waktu yg digunakan u/ mendefinisikan durasi yg dihitung</t>
  </si>
  <si>
    <t>i = tingkat diskon yg diberikan</t>
  </si>
  <si>
    <t>Tahun</t>
  </si>
  <si>
    <t>Arus Kas</t>
  </si>
  <si>
    <t>Diskon</t>
  </si>
  <si>
    <t>Cash flow</t>
  </si>
  <si>
    <t>Output (CARA 1)</t>
  </si>
  <si>
    <t>1) Fungsi NPV Excel MENGANGGAP semua cash flow terjadi di AKHIR PERIODE (tahun 1,2,3,dst)</t>
  </si>
  <si>
    <t>2) Cash flow AWAL (tahun ke-0) TIDAK BOLEH dimasukkan ke dalam fungsi NPV</t>
  </si>
  <si>
    <t>Note CARA 1</t>
  </si>
  <si>
    <t>D662 --&gt; Discount rate</t>
  </si>
  <si>
    <t>Rumus: =NPV(D662;D656:D658)+D655</t>
  </si>
  <si>
    <t>D656:D658 --&gt; cash flow tahun 1-n</t>
  </si>
  <si>
    <t xml:space="preserve">D655 --&gt; initial investment </t>
  </si>
  <si>
    <t>(tahun ke-0, biasanya negatif)</t>
  </si>
  <si>
    <t>Note CARA 2</t>
  </si>
  <si>
    <t>Rumus: =NPV(D662;D665:D674)</t>
  </si>
  <si>
    <t>D655 --&gt; cash flow dimulai di thn ke-1</t>
  </si>
  <si>
    <t>tidak ada cash flow thn ke-0</t>
  </si>
  <si>
    <t>Rumus: NPV = Present Value (tahun 1–n) +</t>
  </si>
  <si>
    <t>Cash flow thn ke-0</t>
  </si>
  <si>
    <t>Penggunaan paling benar, krn:</t>
  </si>
  <si>
    <t>1) Cash flow thn 0 TIDAK BOLEH masuk ke NPV</t>
  </si>
  <si>
    <t>2) Ditambahkan manual di luar fungsi</t>
  </si>
  <si>
    <t>Benar juga, tapi apabila:</t>
  </si>
  <si>
    <t>1) Todak ada investasi awal/ investasi awal = 0</t>
  </si>
  <si>
    <t>2) Menghitung NPV Tanpa Initial Investment</t>
  </si>
  <si>
    <t>Cocok untuk:</t>
  </si>
  <si>
    <t>1) Analisis nilai future cash flow saja</t>
  </si>
  <si>
    <t>2) Bukan analisis kelayakan investasi lengkap</t>
  </si>
  <si>
    <t>REMOVE DUPLICATES</t>
  </si>
  <si>
    <t>Remove duplicates/ menghapus data duplikat yang sama, bisa berupa angka atau teks</t>
  </si>
  <si>
    <t>Name</t>
  </si>
  <si>
    <t>Age</t>
  </si>
  <si>
    <t>Gender</t>
  </si>
  <si>
    <t>Liam</t>
  </si>
  <si>
    <t>Iva</t>
  </si>
  <si>
    <t>Iben</t>
  </si>
  <si>
    <t>Jennie</t>
  </si>
  <si>
    <t>Male</t>
  </si>
  <si>
    <t>Female</t>
  </si>
  <si>
    <t xml:space="preserve">1) Pilih range tabel yg diinginkan </t>
  </si>
  <si>
    <t>2) Klik Data dlm tab ribbon</t>
  </si>
  <si>
    <t>3) Pilih Remove Duplicates</t>
  </si>
  <si>
    <t>5) Klik OK</t>
  </si>
  <si>
    <t>6) Done</t>
  </si>
  <si>
    <t>BEFORE</t>
  </si>
  <si>
    <t>AFTER</t>
  </si>
  <si>
    <t>4) Pilih Kolom yang data duplikatnya ingin di hilangkan (ex: kolom AGE)</t>
  </si>
  <si>
    <t>SPARKLINES EXCEL</t>
  </si>
  <si>
    <t xml:space="preserve">Sparklines adl mini chart/grafik mini yg dimuat dalam satu sel, berfungsi untuk menunjukkan tren data secara visual dan ringkas. </t>
  </si>
  <si>
    <t>Sparklines dibagi menjadi 3, yaitu: Line (garis) Column (Kolom) dan Win/Loss (Menang/kalah)</t>
  </si>
  <si>
    <t>1) Line: Visualisasi tren menggunakan grafik garis</t>
  </si>
  <si>
    <t xml:space="preserve">2) Column: Menggunakan vertikal bars untuk visualisasi nilai </t>
  </si>
  <si>
    <t xml:space="preserve">3) Win/Loss: Menunjukkan positif/negatid data menggunakan markers(titik point) </t>
  </si>
  <si>
    <t>companies</t>
  </si>
  <si>
    <t>may</t>
  </si>
  <si>
    <t>comp1</t>
  </si>
  <si>
    <t>comp2</t>
  </si>
  <si>
    <t>comp3</t>
  </si>
  <si>
    <t>comp4</t>
  </si>
  <si>
    <t>comp5</t>
  </si>
  <si>
    <t xml:space="preserve">1) Plih kolom tempat grafik </t>
  </si>
  <si>
    <t>2) Insert tab</t>
  </si>
  <si>
    <t>3) Pilih range data yg ingin di input ke grafik</t>
  </si>
  <si>
    <t>4) Klik OK</t>
  </si>
  <si>
    <t xml:space="preserve">1)Gunakan "Hidden &amp; Empty Cell" untuk membuat grafik tidak terputus-putus </t>
  </si>
  <si>
    <t>2) Caranya, klik grafik yang ingin diubah -- sparkline -- Edit data -- Hidden &amp; Empty Cell -- Pilih "Zero or Connect Data with Line"</t>
  </si>
  <si>
    <t>SLICER &amp; TIMELINE</t>
  </si>
  <si>
    <t>Excample 1</t>
  </si>
  <si>
    <t>Excample 2</t>
  </si>
  <si>
    <t>cocok untuk penjualan per bulan, jumlah kunjungan per hari, nilai siswa per semester, dll</t>
  </si>
  <si>
    <t>rumus: =UNIQUE(ARRAY; [BY_COL]; [EXACTLY_ONCE])</t>
  </si>
  <si>
    <t>array = data yg ingin diambil nilai uniknya</t>
  </si>
  <si>
    <t>by_col = TRUE Jika ingin cek berdasarkan kolom, FALSE default baris</t>
  </si>
  <si>
    <t>exactly_once = TRUE untuk menampilkan hanya nilai yg muncul sekali</t>
  </si>
  <si>
    <t>rumus: =SORT(ARRAY; [SORT_INDEX] ; [SORT_ORDER] ; [BY_COL])</t>
  </si>
  <si>
    <t>array = data yg ingin diurutkan</t>
  </si>
  <si>
    <t>sort_index = nomor kolom untuk dasar pengurutan</t>
  </si>
  <si>
    <t xml:space="preserve">sort_order = 1 (naik) atau -1 (turun) </t>
  </si>
  <si>
    <t>array = data yg ingin di filter</t>
  </si>
  <si>
    <t>include = syarat/ kriteria filter</t>
  </si>
  <si>
    <t>if_empty = hasil jika tidak ada data yg cocok</t>
  </si>
  <si>
    <t>Menyaring data dari suatu tabel / range berdasarkan kriteria tertentu.</t>
  </si>
  <si>
    <t xml:space="preserve">menyaring/menampilkan data tertentu berdasarkan kriteria yg di tentukan.  Berguna apabila ingin menampilkan data yg relevan tanpa menghapus data asli. </t>
  </si>
  <si>
    <t>rumus : rumus: =FILTER(ARRAY; INCLUDE; [IF_EMPTY]) (ex:=FILTER(D112:D119;D112:D119&gt;100) )</t>
  </si>
  <si>
    <t>TRANSPOSE</t>
  </si>
  <si>
    <t xml:space="preserve">TRANSPOSE </t>
  </si>
  <si>
    <t>TRANSPOSE digunakan untuk menukar posisi baris menjadi kolom. Atau sebaliknya. Berguna ketika ingin mengubah format tampilan data tanpa keting ulang.</t>
  </si>
  <si>
    <t>rumus: = TRANSPOSE(ARRAY)</t>
  </si>
  <si>
    <t>array = data yang ingina di tukar baris &lt;---&gt; kolom</t>
  </si>
  <si>
    <t>jungwon</t>
  </si>
  <si>
    <t>output kolom --&gt; baris</t>
  </si>
  <si>
    <t>output baris --&gt; kolom</t>
  </si>
  <si>
    <t xml:space="preserve">D112:D119  = range array yangakan digunakan </t>
  </si>
  <si>
    <t>D112:D119 &gt; 100 = dalam range ini, di cek adakah data yang lebih dari 100</t>
  </si>
  <si>
    <t>NO. Pesanan</t>
  </si>
  <si>
    <t>Nama Customer</t>
  </si>
  <si>
    <t>Domisili</t>
  </si>
  <si>
    <t>Lama Pengiriman</t>
  </si>
  <si>
    <t xml:space="preserve">No. Pesanan </t>
  </si>
  <si>
    <t>Jenis Kelamin</t>
  </si>
  <si>
    <t>Lily White</t>
  </si>
  <si>
    <t>Arthur Miles</t>
  </si>
  <si>
    <t>James Cordon</t>
  </si>
  <si>
    <t>Ariana Clark</t>
  </si>
  <si>
    <t>Amanda Mell</t>
  </si>
  <si>
    <t>Sophia Mayer</t>
  </si>
  <si>
    <t>Harry Potter</t>
  </si>
  <si>
    <t>Hermione Mark</t>
  </si>
  <si>
    <t>Lucy July</t>
  </si>
  <si>
    <t>Justin Jane</t>
  </si>
  <si>
    <t xml:space="preserve">Perempuan </t>
  </si>
  <si>
    <t>Laki-laki</t>
  </si>
  <si>
    <t>Kota</t>
  </si>
  <si>
    <t>Palembang</t>
  </si>
  <si>
    <t>1 Hari</t>
  </si>
  <si>
    <t>2 Hari</t>
  </si>
  <si>
    <t>3 Hari</t>
  </si>
  <si>
    <t>TGL Pemesanan</t>
  </si>
  <si>
    <t>Nama Customer (output)</t>
  </si>
  <si>
    <t>Domisili (output)</t>
  </si>
  <si>
    <t>Lama Pengiriman (output)</t>
  </si>
  <si>
    <t>Note: Output blm bisa</t>
  </si>
  <si>
    <t>monthly income (output)</t>
  </si>
  <si>
    <t>Output (CARA 2)</t>
  </si>
  <si>
    <t>INDEX(…) = mencari nilai dari sesuatu menggunakan index</t>
  </si>
  <si>
    <t xml:space="preserve">E205:E209 = nilai array yang akan jadi output </t>
  </si>
  <si>
    <t>MATCH(…) = mencari nilai dengan match</t>
  </si>
  <si>
    <t>"cheery" = nama elemen yang akan dicari</t>
  </si>
  <si>
    <t xml:space="preserve">D205:209 = array yang akan dicari </t>
  </si>
  <si>
    <t>0 = exact match, shgg hasil nanti akan persis</t>
  </si>
  <si>
    <t>(1) = approximate match = mencari nilai paling besar, yang kurang dari (&lt;) atau sama dengan (=) nilai yang dicari. Urutannya ascending atau naik</t>
  </si>
  <si>
    <t xml:space="preserve">(0) = exact match = menemukan nilai yang sama persisi dengan nilai yang dicari </t>
  </si>
  <si>
    <t xml:space="preserve">(-1) = approximate match = mencari nilai terkecil yang lebih besar (&gt;) dari atau sama dengan (=) nilai yang dicari. Urutannya itu descending / menurun </t>
  </si>
  <si>
    <t>(omitted) = approximate match = nilai default nya adl 1, berfungsi sprt yg dijelaskan match_type = 1</t>
  </si>
  <si>
    <t>D127 = lookup value / nilai yg ingin dicari</t>
  </si>
  <si>
    <t>D123:D128 = lookup vektor / rentang nilai untuk mencari D127</t>
  </si>
  <si>
    <t>E123:E128 = result vektor / rentang tempat excel mengambil hasil yg " berada pada baris yang sama " dg nilai yg ditentukan dr lookup vektor</t>
  </si>
  <si>
    <t>Tabel Output ==&gt;</t>
  </si>
  <si>
    <t>Tabel Referensi ==&gt;</t>
  </si>
  <si>
    <t>Output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</si>
</sst>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Rp&quot;#,##0.00;[Red]\-&quot;Rp&quot;#,##0.00"/>
    <numFmt numFmtId="41" formatCode="_-* #,##0_-;\-* #,##0_-;_-* &quot;-&quot;_-;_-@_-"/>
    <numFmt numFmtId="43" formatCode="_-* #,##0.00_-;\-* #,##0.00_-;_-* &quot;-&quot;??_-;_-@_-"/>
    <numFmt numFmtId="164" formatCode="_(* #,##0_);_(* \(#,##0\);_(* &quot;-&quot;??_);_(@_)"/>
  </numFmts>
  <fonts count="14" x14ac:knownFonts="1">
    <font>
      <sz val="11"/>
      <color theme="1"/>
      <name val="Calibri"/>
      <family val="2"/>
      <scheme val="minor"/>
    </font>
    <font>
      <b/>
      <sz val="11"/>
      <color theme="1"/>
      <name val="Calibri"/>
      <family val="2"/>
      <scheme val="minor"/>
    </font>
    <font>
      <b/>
      <sz val="20"/>
      <color theme="1"/>
      <name val="Calibri"/>
      <family val="2"/>
      <scheme val="minor"/>
    </font>
    <font>
      <b/>
      <sz val="15"/>
      <color theme="1"/>
      <name val="Calibri"/>
      <family val="2"/>
      <scheme val="minor"/>
    </font>
    <font>
      <b/>
      <sz val="13"/>
      <color theme="1"/>
      <name val="Calibri"/>
      <family val="2"/>
      <scheme val="minor"/>
    </font>
    <font>
      <u/>
      <sz val="11"/>
      <color theme="10"/>
      <name val="Calibri"/>
      <family val="2"/>
      <scheme val="minor"/>
    </font>
    <font>
      <sz val="8"/>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color theme="1"/>
      <name val="Calibri Light"/>
      <family val="2"/>
      <scheme val="major"/>
    </font>
    <font>
      <sz val="12"/>
      <color rgb="FFDDDDDD"/>
      <name val="Segoe UI"/>
      <family val="2"/>
    </font>
    <font>
      <sz val="18"/>
      <color rgb="FFDDDDDD"/>
      <name val="Segoe UI"/>
      <family val="2"/>
    </font>
    <font>
      <b/>
      <sz val="1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0" fontId="5" fillId="0" borderId="0" applyNumberFormat="0" applyFill="0" applyBorder="0" applyAlignment="0" applyProtection="0"/>
    <xf numFmtId="43" fontId="9" fillId="0" borderId="0" applyFont="0" applyFill="0" applyBorder="0" applyAlignment="0" applyProtection="0"/>
    <xf numFmtId="41" fontId="9" fillId="0" borderId="0" applyFont="0" applyFill="0" applyBorder="0" applyAlignment="0" applyProtection="0"/>
  </cellStyleXfs>
  <cellXfs count="91">
    <xf numFmtId="0" fontId="0" fillId="0" borderId="0" xfId="0"/>
    <xf numFmtId="0" fontId="2" fillId="2" borderId="0" xfId="0" applyFont="1" applyFill="1" applyAlignment="1">
      <alignment horizontal="center"/>
    </xf>
    <xf numFmtId="0" fontId="0" fillId="0" borderId="0" xfId="0" applyAlignment="1">
      <alignment horizontal="center"/>
    </xf>
    <xf numFmtId="0" fontId="0" fillId="3" borderId="0" xfId="0" applyFill="1" applyAlignment="1">
      <alignment horizontal="center"/>
    </xf>
    <xf numFmtId="0" fontId="3" fillId="4" borderId="0" xfId="0" applyFont="1" applyFill="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quotePrefix="1" applyAlignment="1">
      <alignment horizontal="left"/>
    </xf>
    <xf numFmtId="0" fontId="8" fillId="0" borderId="0" xfId="0" applyFont="1" applyAlignment="1">
      <alignment horizontal="left"/>
    </xf>
    <xf numFmtId="0" fontId="1" fillId="5" borderId="0" xfId="0" applyFont="1" applyFill="1" applyAlignment="1">
      <alignment horizontal="center"/>
    </xf>
    <xf numFmtId="0" fontId="7" fillId="6" borderId="0" xfId="0" applyFont="1" applyFill="1" applyAlignment="1">
      <alignment horizontal="center"/>
    </xf>
    <xf numFmtId="0" fontId="0" fillId="5" borderId="0" xfId="0" applyFill="1" applyAlignment="1">
      <alignment horizontal="center"/>
    </xf>
    <xf numFmtId="0" fontId="1" fillId="5" borderId="1" xfId="0" applyFont="1" applyFill="1" applyBorder="1" applyAlignment="1">
      <alignment horizontal="center"/>
    </xf>
    <xf numFmtId="0" fontId="0" fillId="5" borderId="1" xfId="0" applyFill="1" applyBorder="1" applyAlignment="1">
      <alignment horizontal="center"/>
    </xf>
    <xf numFmtId="0" fontId="1" fillId="6" borderId="0" xfId="0" applyFont="1" applyFill="1" applyAlignment="1">
      <alignment horizontal="center"/>
    </xf>
    <xf numFmtId="0" fontId="4" fillId="4" borderId="0" xfId="0" applyFont="1" applyFill="1" applyAlignment="1">
      <alignment horizontal="left"/>
    </xf>
    <xf numFmtId="0" fontId="7" fillId="6" borderId="0" xfId="0" applyFont="1" applyFill="1" applyAlignment="1">
      <alignment horizontal="left"/>
    </xf>
    <xf numFmtId="0" fontId="1" fillId="6" borderId="0" xfId="0" applyFont="1" applyFill="1" applyAlignment="1">
      <alignment horizontal="left"/>
    </xf>
    <xf numFmtId="0" fontId="5" fillId="0" borderId="0" xfId="1" applyAlignment="1">
      <alignment horizontal="center"/>
    </xf>
    <xf numFmtId="0" fontId="1" fillId="0" borderId="0" xfId="0" applyFont="1"/>
    <xf numFmtId="0" fontId="7" fillId="0" borderId="0" xfId="0" applyFont="1"/>
    <xf numFmtId="164" fontId="0" fillId="0" borderId="1" xfId="2" applyNumberFormat="1" applyFont="1" applyBorder="1"/>
    <xf numFmtId="14" fontId="0" fillId="0" borderId="1" xfId="2" applyNumberFormat="1" applyFont="1" applyBorder="1"/>
    <xf numFmtId="164" fontId="0" fillId="0" borderId="2" xfId="2" applyNumberFormat="1" applyFont="1" applyBorder="1"/>
    <xf numFmtId="164" fontId="0" fillId="0" borderId="7" xfId="2" applyNumberFormat="1" applyFont="1" applyBorder="1"/>
    <xf numFmtId="164" fontId="0" fillId="0" borderId="8" xfId="2" applyNumberFormat="1" applyFont="1" applyBorder="1"/>
    <xf numFmtId="14" fontId="0" fillId="0" borderId="8" xfId="2" applyNumberFormat="1" applyFont="1" applyBorder="1"/>
    <xf numFmtId="41" fontId="0" fillId="0" borderId="1" xfId="3" applyFont="1" applyBorder="1"/>
    <xf numFmtId="41" fontId="0" fillId="0" borderId="8" xfId="3" applyFont="1" applyBorder="1"/>
    <xf numFmtId="41" fontId="0" fillId="0" borderId="0" xfId="3" applyFont="1"/>
    <xf numFmtId="41" fontId="0" fillId="0" borderId="3" xfId="3" applyFont="1" applyBorder="1"/>
    <xf numFmtId="41" fontId="0" fillId="0" borderId="9" xfId="3" applyFont="1" applyBorder="1"/>
    <xf numFmtId="0" fontId="8" fillId="0" borderId="0" xfId="0" applyFont="1"/>
    <xf numFmtId="0" fontId="2" fillId="2" borderId="0" xfId="0" applyFont="1" applyFill="1"/>
    <xf numFmtId="41" fontId="0" fillId="0" borderId="0" xfId="3" applyFont="1" applyAlignment="1">
      <alignment horizontal="center"/>
    </xf>
    <xf numFmtId="41" fontId="0" fillId="0" borderId="0" xfId="0" pivotButton="1" applyNumberFormat="1" applyAlignment="1">
      <alignment horizontal="center"/>
    </xf>
    <xf numFmtId="41" fontId="0" fillId="0" borderId="0" xfId="0" applyNumberFormat="1" applyAlignment="1">
      <alignment horizontal="center"/>
    </xf>
    <xf numFmtId="0" fontId="0" fillId="0" borderId="0" xfId="0" pivotButton="1" applyAlignment="1">
      <alignment horizontal="center"/>
    </xf>
    <xf numFmtId="10" fontId="0" fillId="0" borderId="0" xfId="0" applyNumberFormat="1" applyAlignment="1">
      <alignment horizontal="center"/>
    </xf>
    <xf numFmtId="0" fontId="7" fillId="3" borderId="0" xfId="0" applyFont="1" applyFill="1" applyAlignment="1">
      <alignment horizontal="center"/>
    </xf>
    <xf numFmtId="0" fontId="10" fillId="3" borderId="0" xfId="0" applyFont="1" applyFill="1" applyAlignment="1">
      <alignment horizontal="center"/>
    </xf>
    <xf numFmtId="41" fontId="7" fillId="3" borderId="0" xfId="0" applyNumberFormat="1" applyFont="1" applyFill="1"/>
    <xf numFmtId="0" fontId="7" fillId="3" borderId="0" xfId="0" applyFont="1" applyFill="1"/>
    <xf numFmtId="0" fontId="7" fillId="0" borderId="0" xfId="0" applyFont="1" applyAlignment="1">
      <alignment horizontal="left"/>
    </xf>
    <xf numFmtId="0" fontId="7" fillId="6" borderId="0" xfId="0" applyFont="1" applyFill="1"/>
    <xf numFmtId="0" fontId="11" fillId="0" borderId="0" xfId="0" applyFont="1" applyAlignment="1">
      <alignment vertical="center" wrapText="1"/>
    </xf>
    <xf numFmtId="0" fontId="0" fillId="0" borderId="0" xfId="0" applyAlignment="1">
      <alignment vertical="center" wrapText="1"/>
    </xf>
    <xf numFmtId="0" fontId="12" fillId="0" borderId="0" xfId="0" applyFont="1" applyAlignment="1">
      <alignment vertical="center" wrapText="1"/>
    </xf>
    <xf numFmtId="0" fontId="1" fillId="0" borderId="0" xfId="0" applyFont="1" applyAlignment="1">
      <alignment horizontal="center" vertical="center" wrapText="1"/>
    </xf>
    <xf numFmtId="41" fontId="9" fillId="0" borderId="0" xfId="3" applyFont="1" applyAlignment="1">
      <alignment horizontal="center"/>
    </xf>
    <xf numFmtId="0" fontId="0" fillId="0" borderId="0" xfId="0" pivotButton="1"/>
    <xf numFmtId="0" fontId="0" fillId="0" borderId="0" xfId="0" applyAlignment="1">
      <alignment horizontal="left" indent="1"/>
    </xf>
    <xf numFmtId="0" fontId="1" fillId="3" borderId="0" xfId="0" applyFont="1" applyFill="1" applyAlignment="1">
      <alignment horizontal="center"/>
    </xf>
    <xf numFmtId="0" fontId="1" fillId="4" borderId="0" xfId="0" applyFont="1" applyFill="1" applyAlignment="1">
      <alignment horizontal="left"/>
    </xf>
    <xf numFmtId="0" fontId="1" fillId="3" borderId="0" xfId="0" applyFont="1" applyFill="1" applyAlignment="1">
      <alignment horizontal="left"/>
    </xf>
    <xf numFmtId="0" fontId="1" fillId="5" borderId="1" xfId="0" applyFont="1" applyFill="1" applyBorder="1" applyAlignment="1">
      <alignment horizontal="left"/>
    </xf>
    <xf numFmtId="0" fontId="1" fillId="4" borderId="1" xfId="0" applyFont="1" applyFill="1" applyBorder="1" applyAlignment="1">
      <alignment horizontal="left"/>
    </xf>
    <xf numFmtId="0" fontId="4" fillId="4" borderId="1" xfId="0" applyFont="1" applyFill="1" applyBorder="1" applyAlignment="1">
      <alignment horizontal="left"/>
    </xf>
    <xf numFmtId="0" fontId="7" fillId="6" borderId="1" xfId="0" applyFont="1" applyFill="1" applyBorder="1" applyAlignment="1">
      <alignment horizontal="left"/>
    </xf>
    <xf numFmtId="0" fontId="4" fillId="6" borderId="1" xfId="0" applyFont="1" applyFill="1" applyBorder="1" applyAlignment="1">
      <alignment horizontal="left"/>
    </xf>
    <xf numFmtId="0" fontId="1" fillId="6" borderId="1" xfId="0" applyFont="1" applyFill="1" applyBorder="1" applyAlignment="1">
      <alignment horizontal="left"/>
    </xf>
    <xf numFmtId="0" fontId="1" fillId="3" borderId="1" xfId="0" applyFont="1" applyFill="1" applyBorder="1" applyAlignment="1">
      <alignment horizontal="left"/>
    </xf>
    <xf numFmtId="0" fontId="1" fillId="5" borderId="3" xfId="0" applyFont="1" applyFill="1" applyBorder="1" applyAlignment="1">
      <alignment horizontal="center"/>
    </xf>
    <xf numFmtId="0" fontId="1" fillId="5" borderId="8" xfId="0" applyFont="1" applyFill="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1" fillId="0" borderId="1" xfId="0" applyFont="1" applyBorder="1" applyAlignment="1">
      <alignment horizontal="center"/>
    </xf>
    <xf numFmtId="0" fontId="1" fillId="8" borderId="1" xfId="0" applyFont="1" applyFill="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1" fillId="8" borderId="3" xfId="0" applyFont="1" applyFill="1" applyBorder="1" applyAlignment="1">
      <alignment horizontal="center"/>
    </xf>
    <xf numFmtId="0" fontId="1" fillId="2" borderId="1" xfId="0" applyFont="1" applyFill="1" applyBorder="1" applyAlignment="1">
      <alignment horizontal="center"/>
    </xf>
    <xf numFmtId="0" fontId="0" fillId="2" borderId="1" xfId="0" applyFill="1" applyBorder="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1" fillId="2" borderId="3" xfId="0" applyFont="1" applyFill="1" applyBorder="1" applyAlignment="1">
      <alignment horizontal="center"/>
    </xf>
    <xf numFmtId="0" fontId="1" fillId="8" borderId="1" xfId="0" applyFont="1" applyFill="1" applyBorder="1" applyAlignment="1">
      <alignment horizontal="center" vertical="center" wrapText="1"/>
    </xf>
    <xf numFmtId="0" fontId="0" fillId="0" borderId="1" xfId="0" applyBorder="1" applyAlignment="1">
      <alignment horizontal="center" vertical="center" wrapText="1"/>
    </xf>
    <xf numFmtId="41" fontId="9" fillId="0" borderId="1" xfId="3" applyFont="1" applyBorder="1" applyAlignment="1">
      <alignment horizontal="left" vertical="center"/>
    </xf>
    <xf numFmtId="0" fontId="0" fillId="0" borderId="1" xfId="0" applyBorder="1" applyAlignment="1">
      <alignment vertical="center" wrapText="1"/>
    </xf>
    <xf numFmtId="0" fontId="0" fillId="8" borderId="1" xfId="0" applyFill="1" applyBorder="1" applyAlignment="1">
      <alignment horizontal="center"/>
    </xf>
    <xf numFmtId="41" fontId="9" fillId="8" borderId="1" xfId="3" applyFont="1" applyFill="1" applyBorder="1" applyAlignment="1">
      <alignment horizontal="center"/>
    </xf>
    <xf numFmtId="3" fontId="0" fillId="0" borderId="1" xfId="0" applyNumberFormat="1" applyBorder="1" applyAlignment="1">
      <alignment horizontal="center" vertical="center" wrapText="1"/>
    </xf>
    <xf numFmtId="9" fontId="0" fillId="0" borderId="1" xfId="0" applyNumberFormat="1" applyBorder="1" applyAlignment="1">
      <alignment horizontal="center"/>
    </xf>
    <xf numFmtId="8" fontId="0" fillId="0" borderId="1" xfId="0" applyNumberFormat="1" applyBorder="1" applyAlignment="1">
      <alignment horizontal="center"/>
    </xf>
    <xf numFmtId="164" fontId="13" fillId="7" borderId="4" xfId="2" applyNumberFormat="1" applyFont="1" applyFill="1" applyBorder="1" applyAlignment="1">
      <alignment horizontal="center"/>
    </xf>
    <xf numFmtId="164" fontId="13" fillId="7" borderId="5" xfId="2" applyNumberFormat="1" applyFont="1" applyFill="1" applyBorder="1" applyAlignment="1">
      <alignment horizontal="center"/>
    </xf>
    <xf numFmtId="41" fontId="13" fillId="7" borderId="5" xfId="3" applyFont="1" applyFill="1" applyBorder="1" applyAlignment="1">
      <alignment horizontal="center"/>
    </xf>
    <xf numFmtId="41" fontId="13" fillId="7" borderId="6" xfId="3" applyFont="1" applyFill="1" applyBorder="1" applyAlignment="1">
      <alignment horizontal="center"/>
    </xf>
  </cellXfs>
  <cellStyles count="4">
    <cellStyle name="Comma" xfId="2" builtinId="3"/>
    <cellStyle name="Comma [0]" xfId="3" builtinId="6"/>
    <cellStyle name="Hyperlink" xfId="1" builtinId="8"/>
    <cellStyle name="Normal" xfId="0" builtinId="0"/>
  </cellStyles>
  <dxfs count="49">
    <dxf>
      <alignment horizontal="center"/>
    </dxf>
    <dxf>
      <alignment horizontal="center"/>
    </dxf>
    <dxf>
      <alignment horizontal="center"/>
    </dxf>
    <dxf>
      <alignment horizont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horizontal="center"/>
    </dxf>
    <dxf>
      <alignment horizontal="center"/>
    </dxf>
    <dxf>
      <alignment horizontal="center"/>
    </dxf>
    <dxf>
      <alignment horizontal="center"/>
    </dxf>
    <dxf>
      <alignment horizontal="center"/>
    </dxf>
    <dxf>
      <numFmt numFmtId="14" formatCode="0.00%"/>
    </dxf>
    <dxf>
      <numFmt numFmtId="33" formatCode="_-* #,##0_-;\-* #,##0_-;_-* &quot;-&quot;_-;_-@_-"/>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b/>
        <i val="0"/>
        <strike val="0"/>
        <condense val="0"/>
        <extend val="0"/>
        <outline val="0"/>
        <shadow val="0"/>
        <u val="none"/>
        <vertAlign val="baseline"/>
        <sz val="11"/>
        <color auto="1"/>
        <name val="Calibri"/>
        <family val="2"/>
        <scheme val="minor"/>
      </font>
      <numFmt numFmtId="164" formatCode="_(* #,##0_);_(* \(#,##0\);_(* &quot;-&quot;??_);_(@_)"/>
      <fill>
        <patternFill patternType="solid">
          <fgColor indexed="64"/>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'Excel-Intermediate'!$C$347</c:f>
              <c:strCache>
                <c:ptCount val="1"/>
                <c:pt idx="0">
                  <c:v>buldasaur</c:v>
                </c:pt>
              </c:strCache>
            </c:strRef>
          </c:tx>
          <c:spPr>
            <a:solidFill>
              <a:schemeClr val="accent1"/>
            </a:solidFill>
            <a:ln>
              <a:noFill/>
            </a:ln>
            <a:effectLst/>
          </c:spPr>
          <c:invertIfNegative val="0"/>
          <c:cat>
            <c:strRef>
              <c:f>'Excel-Intermediate'!$D$346:$G$346</c:f>
              <c:strCache>
                <c:ptCount val="4"/>
                <c:pt idx="0">
                  <c:v>hp</c:v>
                </c:pt>
                <c:pt idx="1">
                  <c:v>attack</c:v>
                </c:pt>
                <c:pt idx="2">
                  <c:v>defense</c:v>
                </c:pt>
                <c:pt idx="3">
                  <c:v>speed</c:v>
                </c:pt>
              </c:strCache>
            </c:strRef>
          </c:cat>
          <c:val>
            <c:numRef>
              <c:f>'Excel-Intermediate'!$D$347:$G$347</c:f>
              <c:numCache>
                <c:formatCode>General</c:formatCode>
                <c:ptCount val="4"/>
                <c:pt idx="0">
                  <c:v>45</c:v>
                </c:pt>
                <c:pt idx="1">
                  <c:v>49</c:v>
                </c:pt>
                <c:pt idx="2">
                  <c:v>49</c:v>
                </c:pt>
                <c:pt idx="3">
                  <c:v>45</c:v>
                </c:pt>
              </c:numCache>
            </c:numRef>
          </c:val>
          <c:extLst>
            <c:ext xmlns:c16="http://schemas.microsoft.com/office/drawing/2014/chart" uri="{C3380CC4-5D6E-409C-BE32-E72D297353CC}">
              <c16:uniqueId val="{00000000-7EF8-4DAD-8C48-EDCA3157CAE0}"/>
            </c:ext>
          </c:extLst>
        </c:ser>
        <c:ser>
          <c:idx val="1"/>
          <c:order val="1"/>
          <c:tx>
            <c:strRef>
              <c:f>'Excel-Intermediate'!$C$348</c:f>
              <c:strCache>
                <c:ptCount val="1"/>
                <c:pt idx="0">
                  <c:v>charmander</c:v>
                </c:pt>
              </c:strCache>
            </c:strRef>
          </c:tx>
          <c:spPr>
            <a:solidFill>
              <a:schemeClr val="accent2"/>
            </a:solidFill>
            <a:ln>
              <a:noFill/>
            </a:ln>
            <a:effectLst/>
          </c:spPr>
          <c:invertIfNegative val="0"/>
          <c:cat>
            <c:strRef>
              <c:f>'Excel-Intermediate'!$D$346:$G$346</c:f>
              <c:strCache>
                <c:ptCount val="4"/>
                <c:pt idx="0">
                  <c:v>hp</c:v>
                </c:pt>
                <c:pt idx="1">
                  <c:v>attack</c:v>
                </c:pt>
                <c:pt idx="2">
                  <c:v>defense</c:v>
                </c:pt>
                <c:pt idx="3">
                  <c:v>speed</c:v>
                </c:pt>
              </c:strCache>
            </c:strRef>
          </c:cat>
          <c:val>
            <c:numRef>
              <c:f>'Excel-Intermediate'!$D$348:$G$348</c:f>
              <c:numCache>
                <c:formatCode>General</c:formatCode>
                <c:ptCount val="4"/>
                <c:pt idx="0">
                  <c:v>39</c:v>
                </c:pt>
                <c:pt idx="1">
                  <c:v>52</c:v>
                </c:pt>
                <c:pt idx="2">
                  <c:v>43</c:v>
                </c:pt>
                <c:pt idx="3">
                  <c:v>65</c:v>
                </c:pt>
              </c:numCache>
            </c:numRef>
          </c:val>
          <c:extLst>
            <c:ext xmlns:c16="http://schemas.microsoft.com/office/drawing/2014/chart" uri="{C3380CC4-5D6E-409C-BE32-E72D297353CC}">
              <c16:uniqueId val="{00000001-7EF8-4DAD-8C48-EDCA3157CAE0}"/>
            </c:ext>
          </c:extLst>
        </c:ser>
        <c:ser>
          <c:idx val="2"/>
          <c:order val="2"/>
          <c:tx>
            <c:strRef>
              <c:f>'Excel-Intermediate'!$C$349</c:f>
              <c:strCache>
                <c:ptCount val="1"/>
                <c:pt idx="0">
                  <c:v>squirtle</c:v>
                </c:pt>
              </c:strCache>
            </c:strRef>
          </c:tx>
          <c:spPr>
            <a:solidFill>
              <a:schemeClr val="accent3"/>
            </a:solidFill>
            <a:ln>
              <a:noFill/>
            </a:ln>
            <a:effectLst/>
          </c:spPr>
          <c:invertIfNegative val="0"/>
          <c:cat>
            <c:strRef>
              <c:f>'Excel-Intermediate'!$D$346:$G$346</c:f>
              <c:strCache>
                <c:ptCount val="4"/>
                <c:pt idx="0">
                  <c:v>hp</c:v>
                </c:pt>
                <c:pt idx="1">
                  <c:v>attack</c:v>
                </c:pt>
                <c:pt idx="2">
                  <c:v>defense</c:v>
                </c:pt>
                <c:pt idx="3">
                  <c:v>speed</c:v>
                </c:pt>
              </c:strCache>
            </c:strRef>
          </c:cat>
          <c:val>
            <c:numRef>
              <c:f>'Excel-Intermediate'!$D$349:$G$349</c:f>
              <c:numCache>
                <c:formatCode>General</c:formatCode>
                <c:ptCount val="4"/>
                <c:pt idx="0">
                  <c:v>44</c:v>
                </c:pt>
                <c:pt idx="1">
                  <c:v>48</c:v>
                </c:pt>
                <c:pt idx="2">
                  <c:v>65</c:v>
                </c:pt>
                <c:pt idx="3">
                  <c:v>43</c:v>
                </c:pt>
              </c:numCache>
            </c:numRef>
          </c:val>
          <c:extLst>
            <c:ext xmlns:c16="http://schemas.microsoft.com/office/drawing/2014/chart" uri="{C3380CC4-5D6E-409C-BE32-E72D297353CC}">
              <c16:uniqueId val="{00000002-7EF8-4DAD-8C48-EDCA3157CAE0}"/>
            </c:ext>
          </c:extLst>
        </c:ser>
        <c:dLbls>
          <c:showLegendKey val="0"/>
          <c:showVal val="0"/>
          <c:showCatName val="0"/>
          <c:showSerName val="0"/>
          <c:showPercent val="0"/>
          <c:showBubbleSize val="0"/>
        </c:dLbls>
        <c:gapWidth val="219"/>
        <c:overlap val="-27"/>
        <c:axId val="1639794271"/>
        <c:axId val="1639797599"/>
      </c:barChart>
      <c:catAx>
        <c:axId val="1639794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797599"/>
        <c:crosses val="autoZero"/>
        <c:auto val="1"/>
        <c:lblAlgn val="ctr"/>
        <c:lblOffset val="100"/>
        <c:noMultiLvlLbl val="0"/>
      </c:catAx>
      <c:valAx>
        <c:axId val="163979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794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Gen1 - 1</a:t>
            </a:r>
            <a:r>
              <a:rPr lang="en-US" baseline="0"/>
              <a:t> Data Columns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'Excel-Intermediate'!$E$369</c:f>
              <c:strCache>
                <c:ptCount val="1"/>
                <c:pt idx="0">
                  <c:v>Count Gen1</c:v>
                </c:pt>
              </c:strCache>
            </c:strRef>
          </c:tx>
          <c:spPr>
            <a:solidFill>
              <a:schemeClr val="accent1"/>
            </a:solidFill>
            <a:ln>
              <a:noFill/>
            </a:ln>
            <a:effectLst/>
          </c:spPr>
          <c:invertIfNegative val="0"/>
          <c:cat>
            <c:strRef>
              <c:f>'Excel-Intermediate'!$D$370:$D$373</c:f>
              <c:strCache>
                <c:ptCount val="4"/>
                <c:pt idx="0">
                  <c:v>    Grass</c:v>
                </c:pt>
                <c:pt idx="1">
                  <c:v>    Fire</c:v>
                </c:pt>
                <c:pt idx="2">
                  <c:v>    Water</c:v>
                </c:pt>
                <c:pt idx="3">
                  <c:v>    Bug</c:v>
                </c:pt>
              </c:strCache>
            </c:strRef>
          </c:cat>
          <c:val>
            <c:numRef>
              <c:f>'Excel-Intermediate'!$E$370:$E$373</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02AF-4AE2-83EA-1324AE4456B3}"/>
            </c:ext>
          </c:extLst>
        </c:ser>
        <c:dLbls>
          <c:showLegendKey val="0"/>
          <c:showVal val="0"/>
          <c:showCatName val="0"/>
          <c:showSerName val="0"/>
          <c:showPercent val="0"/>
          <c:showBubbleSize val="0"/>
        </c:dLbls>
        <c:gapWidth val="182"/>
        <c:axId val="75179007"/>
        <c:axId val="75186495"/>
      </c:barChart>
      <c:catAx>
        <c:axId val="75179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86495"/>
        <c:crosses val="autoZero"/>
        <c:auto val="1"/>
        <c:lblAlgn val="ctr"/>
        <c:lblOffset val="100"/>
        <c:noMultiLvlLbl val="0"/>
      </c:catAx>
      <c:valAx>
        <c:axId val="75186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79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2</a:t>
            </a:r>
            <a:r>
              <a:rPr lang="en-ID" baseline="0"/>
              <a:t> Data Columns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'Excel-Intermediate'!$E$369</c:f>
              <c:strCache>
                <c:ptCount val="1"/>
                <c:pt idx="0">
                  <c:v>Count Gen1</c:v>
                </c:pt>
              </c:strCache>
            </c:strRef>
          </c:tx>
          <c:spPr>
            <a:solidFill>
              <a:schemeClr val="accent1"/>
            </a:solidFill>
            <a:ln>
              <a:noFill/>
            </a:ln>
            <a:effectLst/>
          </c:spPr>
          <c:invertIfNegative val="0"/>
          <c:cat>
            <c:strRef>
              <c:f>'Excel-Intermediate'!$D$370:$D$373</c:f>
              <c:strCache>
                <c:ptCount val="4"/>
                <c:pt idx="0">
                  <c:v>    Grass</c:v>
                </c:pt>
                <c:pt idx="1">
                  <c:v>    Fire</c:v>
                </c:pt>
                <c:pt idx="2">
                  <c:v>    Water</c:v>
                </c:pt>
                <c:pt idx="3">
                  <c:v>    Bug</c:v>
                </c:pt>
              </c:strCache>
            </c:strRef>
          </c:cat>
          <c:val>
            <c:numRef>
              <c:f>'Excel-Intermediate'!$E$370:$E$373</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25EF-4952-9D85-E655E4A11DA0}"/>
            </c:ext>
          </c:extLst>
        </c:ser>
        <c:ser>
          <c:idx val="1"/>
          <c:order val="1"/>
          <c:tx>
            <c:strRef>
              <c:f>'Excel-Intermediate'!$F$369</c:f>
              <c:strCache>
                <c:ptCount val="1"/>
                <c:pt idx="0">
                  <c:v>Count Gen 2</c:v>
                </c:pt>
              </c:strCache>
            </c:strRef>
          </c:tx>
          <c:spPr>
            <a:solidFill>
              <a:schemeClr val="accent2"/>
            </a:solidFill>
            <a:ln>
              <a:noFill/>
            </a:ln>
            <a:effectLst/>
          </c:spPr>
          <c:invertIfNegative val="0"/>
          <c:cat>
            <c:strRef>
              <c:f>'Excel-Intermediate'!$D$370:$D$373</c:f>
              <c:strCache>
                <c:ptCount val="4"/>
                <c:pt idx="0">
                  <c:v>    Grass</c:v>
                </c:pt>
                <c:pt idx="1">
                  <c:v>    Fire</c:v>
                </c:pt>
                <c:pt idx="2">
                  <c:v>    Water</c:v>
                </c:pt>
                <c:pt idx="3">
                  <c:v>    Bug</c:v>
                </c:pt>
              </c:strCache>
            </c:strRef>
          </c:cat>
          <c:val>
            <c:numRef>
              <c:f>'Excel-Intermediate'!$F$370:$F$373</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25EF-4952-9D85-E655E4A11DA0}"/>
            </c:ext>
          </c:extLst>
        </c:ser>
        <c:dLbls>
          <c:showLegendKey val="0"/>
          <c:showVal val="0"/>
          <c:showCatName val="0"/>
          <c:showSerName val="0"/>
          <c:showPercent val="0"/>
          <c:showBubbleSize val="0"/>
        </c:dLbls>
        <c:gapWidth val="182"/>
        <c:axId val="79988431"/>
        <c:axId val="79993007"/>
      </c:barChart>
      <c:catAx>
        <c:axId val="79988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93007"/>
        <c:crosses val="autoZero"/>
        <c:auto val="1"/>
        <c:lblAlgn val="ctr"/>
        <c:lblOffset val="100"/>
        <c:noMultiLvlLbl val="0"/>
      </c:catAx>
      <c:valAx>
        <c:axId val="799930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Stacked</a:t>
            </a:r>
            <a:r>
              <a:rPr lang="en-ID" baseline="0"/>
              <a:t> Bar</a:t>
            </a:r>
            <a:endParaRPr lang="en-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'Excel-Intermediate'!$E$390</c:f>
              <c:strCache>
                <c:ptCount val="1"/>
                <c:pt idx="0">
                  <c:v>Count Gen1</c:v>
                </c:pt>
              </c:strCache>
            </c:strRef>
          </c:tx>
          <c:spPr>
            <a:solidFill>
              <a:schemeClr val="accent1"/>
            </a:solidFill>
            <a:ln>
              <a:noFill/>
            </a:ln>
            <a:effectLst/>
          </c:spPr>
          <c:invertIfNegative val="0"/>
          <c:cat>
            <c:strRef>
              <c:f>'Excel-Intermediate'!$D$391:$D$394</c:f>
              <c:strCache>
                <c:ptCount val="4"/>
                <c:pt idx="0">
                  <c:v>    Grass</c:v>
                </c:pt>
                <c:pt idx="1">
                  <c:v>    Fire</c:v>
                </c:pt>
                <c:pt idx="2">
                  <c:v>    Water</c:v>
                </c:pt>
                <c:pt idx="3">
                  <c:v>    Bug</c:v>
                </c:pt>
              </c:strCache>
            </c:strRef>
          </c:cat>
          <c:val>
            <c:numRef>
              <c:f>'Excel-Intermediate'!$E$391:$E$394</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794F-4500-8278-1E11C57A23CF}"/>
            </c:ext>
          </c:extLst>
        </c:ser>
        <c:ser>
          <c:idx val="1"/>
          <c:order val="1"/>
          <c:tx>
            <c:strRef>
              <c:f>'Excel-Intermediate'!$F$390</c:f>
              <c:strCache>
                <c:ptCount val="1"/>
                <c:pt idx="0">
                  <c:v>Count Gen 2</c:v>
                </c:pt>
              </c:strCache>
            </c:strRef>
          </c:tx>
          <c:spPr>
            <a:solidFill>
              <a:schemeClr val="accent2"/>
            </a:solidFill>
            <a:ln>
              <a:noFill/>
            </a:ln>
            <a:effectLst/>
          </c:spPr>
          <c:invertIfNegative val="0"/>
          <c:cat>
            <c:strRef>
              <c:f>'Excel-Intermediate'!$D$391:$D$394</c:f>
              <c:strCache>
                <c:ptCount val="4"/>
                <c:pt idx="0">
                  <c:v>    Grass</c:v>
                </c:pt>
                <c:pt idx="1">
                  <c:v>    Fire</c:v>
                </c:pt>
                <c:pt idx="2">
                  <c:v>    Water</c:v>
                </c:pt>
                <c:pt idx="3">
                  <c:v>    Bug</c:v>
                </c:pt>
              </c:strCache>
            </c:strRef>
          </c:cat>
          <c:val>
            <c:numRef>
              <c:f>'Excel-Intermediate'!$F$391:$F$394</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794F-4500-8278-1E11C57A23CF}"/>
            </c:ext>
          </c:extLst>
        </c:ser>
        <c:dLbls>
          <c:showLegendKey val="0"/>
          <c:showVal val="0"/>
          <c:showCatName val="0"/>
          <c:showSerName val="0"/>
          <c:showPercent val="0"/>
          <c:showBubbleSize val="0"/>
        </c:dLbls>
        <c:gapWidth val="150"/>
        <c:overlap val="100"/>
        <c:axId val="175801583"/>
        <c:axId val="175801999"/>
      </c:barChart>
      <c:catAx>
        <c:axId val="175801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01999"/>
        <c:crosses val="autoZero"/>
        <c:auto val="1"/>
        <c:lblAlgn val="ctr"/>
        <c:lblOffset val="100"/>
        <c:noMultiLvlLbl val="0"/>
      </c:catAx>
      <c:valAx>
        <c:axId val="1758019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01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a:t>
            </a:r>
            <a:r>
              <a:rPr lang="en-US" baseline="0"/>
              <a:t> Data Columns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'Excel-Intermediate'!$F$413</c:f>
              <c:strCache>
                <c:ptCount val="1"/>
                <c:pt idx="0">
                  <c:v>Count Gen1</c:v>
                </c:pt>
              </c:strCache>
            </c:strRef>
          </c:tx>
          <c:spPr>
            <a:solidFill>
              <a:schemeClr val="accent1"/>
            </a:solidFill>
            <a:ln>
              <a:noFill/>
            </a:ln>
            <a:effectLst/>
          </c:spPr>
          <c:invertIfNegative val="0"/>
          <c:cat>
            <c:strRef>
              <c:f>'Excel-Intermediate'!$E$414:$E$417</c:f>
              <c:strCache>
                <c:ptCount val="4"/>
                <c:pt idx="0">
                  <c:v>    Grass</c:v>
                </c:pt>
                <c:pt idx="1">
                  <c:v>    Fire</c:v>
                </c:pt>
                <c:pt idx="2">
                  <c:v>    Water</c:v>
                </c:pt>
                <c:pt idx="3">
                  <c:v>    Bug</c:v>
                </c:pt>
              </c:strCache>
            </c:strRef>
          </c:cat>
          <c:val>
            <c:numRef>
              <c:f>'Excel-Intermediate'!$F$414:$F$417</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A970-4ACF-97D7-758C564E9D1E}"/>
            </c:ext>
          </c:extLst>
        </c:ser>
        <c:dLbls>
          <c:showLegendKey val="0"/>
          <c:showVal val="0"/>
          <c:showCatName val="0"/>
          <c:showSerName val="0"/>
          <c:showPercent val="0"/>
          <c:showBubbleSize val="0"/>
        </c:dLbls>
        <c:gapWidth val="219"/>
        <c:overlap val="-27"/>
        <c:axId val="79983439"/>
        <c:axId val="79984271"/>
      </c:barChart>
      <c:catAx>
        <c:axId val="79983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4271"/>
        <c:crosses val="autoZero"/>
        <c:auto val="1"/>
        <c:lblAlgn val="ctr"/>
        <c:lblOffset val="100"/>
        <c:noMultiLvlLbl val="0"/>
      </c:catAx>
      <c:valAx>
        <c:axId val="7998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2</a:t>
            </a:r>
            <a:r>
              <a:rPr lang="en-ID" baseline="0"/>
              <a:t> Data Columns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'Excel-Intermediate'!$F$413</c:f>
              <c:strCache>
                <c:ptCount val="1"/>
                <c:pt idx="0">
                  <c:v>Count Gen1</c:v>
                </c:pt>
              </c:strCache>
            </c:strRef>
          </c:tx>
          <c:spPr>
            <a:solidFill>
              <a:schemeClr val="accent1"/>
            </a:solidFill>
            <a:ln>
              <a:noFill/>
            </a:ln>
            <a:effectLst/>
          </c:spPr>
          <c:invertIfNegative val="0"/>
          <c:cat>
            <c:strRef>
              <c:f>'Excel-Intermediate'!$E$414:$E$417</c:f>
              <c:strCache>
                <c:ptCount val="4"/>
                <c:pt idx="0">
                  <c:v>    Grass</c:v>
                </c:pt>
                <c:pt idx="1">
                  <c:v>    Fire</c:v>
                </c:pt>
                <c:pt idx="2">
                  <c:v>    Water</c:v>
                </c:pt>
                <c:pt idx="3">
                  <c:v>    Bug</c:v>
                </c:pt>
              </c:strCache>
            </c:strRef>
          </c:cat>
          <c:val>
            <c:numRef>
              <c:f>'Excel-Intermediate'!$F$414:$F$417</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433A-4DFD-9DEB-9C93A4AD49E9}"/>
            </c:ext>
          </c:extLst>
        </c:ser>
        <c:ser>
          <c:idx val="1"/>
          <c:order val="1"/>
          <c:tx>
            <c:strRef>
              <c:f>'Excel-Intermediate'!$G$413</c:f>
              <c:strCache>
                <c:ptCount val="1"/>
                <c:pt idx="0">
                  <c:v>Count Gen 2</c:v>
                </c:pt>
              </c:strCache>
            </c:strRef>
          </c:tx>
          <c:spPr>
            <a:solidFill>
              <a:schemeClr val="accent2"/>
            </a:solidFill>
            <a:ln>
              <a:noFill/>
            </a:ln>
            <a:effectLst/>
          </c:spPr>
          <c:invertIfNegative val="0"/>
          <c:cat>
            <c:strRef>
              <c:f>'Excel-Intermediate'!$E$414:$E$417</c:f>
              <c:strCache>
                <c:ptCount val="4"/>
                <c:pt idx="0">
                  <c:v>    Grass</c:v>
                </c:pt>
                <c:pt idx="1">
                  <c:v>    Fire</c:v>
                </c:pt>
                <c:pt idx="2">
                  <c:v>    Water</c:v>
                </c:pt>
                <c:pt idx="3">
                  <c:v>    Bug</c:v>
                </c:pt>
              </c:strCache>
            </c:strRef>
          </c:cat>
          <c:val>
            <c:numRef>
              <c:f>'Excel-Intermediate'!$G$414:$G$417</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433A-4DFD-9DEB-9C93A4AD49E9}"/>
            </c:ext>
          </c:extLst>
        </c:ser>
        <c:dLbls>
          <c:showLegendKey val="0"/>
          <c:showVal val="0"/>
          <c:showCatName val="0"/>
          <c:showSerName val="0"/>
          <c:showPercent val="0"/>
          <c:showBubbleSize val="0"/>
        </c:dLbls>
        <c:gapWidth val="219"/>
        <c:overlap val="-27"/>
        <c:axId val="78813103"/>
        <c:axId val="78806447"/>
      </c:barChart>
      <c:catAx>
        <c:axId val="78813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06447"/>
        <c:crosses val="autoZero"/>
        <c:auto val="1"/>
        <c:lblAlgn val="ctr"/>
        <c:lblOffset val="100"/>
        <c:noMultiLvlLbl val="0"/>
      </c:catAx>
      <c:valAx>
        <c:axId val="78806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13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'Excel-Intermediate'!$F$435</c:f>
              <c:strCache>
                <c:ptCount val="1"/>
                <c:pt idx="0">
                  <c:v>Count Gen1</c:v>
                </c:pt>
              </c:strCache>
            </c:strRef>
          </c:tx>
          <c:spPr>
            <a:solidFill>
              <a:schemeClr val="accent1"/>
            </a:solidFill>
            <a:ln>
              <a:noFill/>
            </a:ln>
            <a:effectLst/>
          </c:spPr>
          <c:invertIfNegative val="0"/>
          <c:cat>
            <c:strRef>
              <c:f>'Excel-Intermediate'!$E$436:$E$439</c:f>
              <c:strCache>
                <c:ptCount val="4"/>
                <c:pt idx="0">
                  <c:v>    Grass</c:v>
                </c:pt>
                <c:pt idx="1">
                  <c:v>    Fire</c:v>
                </c:pt>
                <c:pt idx="2">
                  <c:v>    Water</c:v>
                </c:pt>
                <c:pt idx="3">
                  <c:v>    Bug</c:v>
                </c:pt>
              </c:strCache>
            </c:strRef>
          </c:cat>
          <c:val>
            <c:numRef>
              <c:f>'Excel-Intermediate'!$F$436:$F$439</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7052-443B-AB17-452702298AE3}"/>
            </c:ext>
          </c:extLst>
        </c:ser>
        <c:ser>
          <c:idx val="1"/>
          <c:order val="1"/>
          <c:tx>
            <c:strRef>
              <c:f>'Excel-Intermediate'!$G$435</c:f>
              <c:strCache>
                <c:ptCount val="1"/>
                <c:pt idx="0">
                  <c:v>Count Gen 2</c:v>
                </c:pt>
              </c:strCache>
            </c:strRef>
          </c:tx>
          <c:spPr>
            <a:solidFill>
              <a:schemeClr val="accent2"/>
            </a:solidFill>
            <a:ln>
              <a:noFill/>
            </a:ln>
            <a:effectLst/>
          </c:spPr>
          <c:invertIfNegative val="0"/>
          <c:cat>
            <c:strRef>
              <c:f>'Excel-Intermediate'!$E$436:$E$439</c:f>
              <c:strCache>
                <c:ptCount val="4"/>
                <c:pt idx="0">
                  <c:v>    Grass</c:v>
                </c:pt>
                <c:pt idx="1">
                  <c:v>    Fire</c:v>
                </c:pt>
                <c:pt idx="2">
                  <c:v>    Water</c:v>
                </c:pt>
                <c:pt idx="3">
                  <c:v>    Bug</c:v>
                </c:pt>
              </c:strCache>
            </c:strRef>
          </c:cat>
          <c:val>
            <c:numRef>
              <c:f>'Excel-Intermediate'!$G$436:$G$439</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7052-443B-AB17-452702298AE3}"/>
            </c:ext>
          </c:extLst>
        </c:ser>
        <c:dLbls>
          <c:showLegendKey val="0"/>
          <c:showVal val="0"/>
          <c:showCatName val="0"/>
          <c:showSerName val="0"/>
          <c:showPercent val="0"/>
          <c:showBubbleSize val="0"/>
        </c:dLbls>
        <c:gapWidth val="150"/>
        <c:overlap val="100"/>
        <c:axId val="75187327"/>
        <c:axId val="75187743"/>
      </c:barChart>
      <c:catAx>
        <c:axId val="7518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87743"/>
        <c:crosses val="autoZero"/>
        <c:auto val="1"/>
        <c:lblAlgn val="ctr"/>
        <c:lblOffset val="100"/>
        <c:noMultiLvlLbl val="0"/>
      </c:catAx>
      <c:valAx>
        <c:axId val="75187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8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100%</a:t>
            </a:r>
            <a:r>
              <a:rPr lang="en-ID" baseline="0"/>
              <a:t> Stacked Columns Charts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'Excel-Intermediate'!$F$455</c:f>
              <c:strCache>
                <c:ptCount val="1"/>
                <c:pt idx="0">
                  <c:v>Apparel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'Excel-Intermediate'!$E$456:$E$459</c:f>
              <c:strCache>
                <c:ptCount val="4"/>
                <c:pt idx="0">
                  <c:v>East</c:v>
                </c:pt>
                <c:pt idx="1">
                  <c:v>West</c:v>
                </c:pt>
                <c:pt idx="2">
                  <c:v>North</c:v>
                </c:pt>
                <c:pt idx="3">
                  <c:v>South</c:v>
                </c:pt>
              </c:strCache>
            </c:strRef>
          </c:cat>
          <c:val>
            <c:numRef>
              <c:f>'Excel-Intermediate'!$F$456:$F$459</c:f>
              <c:numCache>
                <c:formatCode>General</c:formatCode>
                <c:ptCount val="4"/>
                <c:pt idx="0">
                  <c:v>40</c:v>
                </c:pt>
                <c:pt idx="1">
                  <c:v>30</c:v>
                </c:pt>
                <c:pt idx="2">
                  <c:v>50</c:v>
                </c:pt>
                <c:pt idx="3">
                  <c:v>20</c:v>
                </c:pt>
              </c:numCache>
            </c:numRef>
          </c:val>
          <c:extLst>
            <c:ext xmlns:c16="http://schemas.microsoft.com/office/drawing/2014/chart" uri="{C3380CC4-5D6E-409C-BE32-E72D297353CC}">
              <c16:uniqueId val="{00000000-0B14-4DCB-AEC3-CAC776E4BB21}"/>
            </c:ext>
          </c:extLst>
        </c:ser>
        <c:ser>
          <c:idx val="1"/>
          <c:order val="1"/>
          <c:tx>
            <c:strRef>
              <c:f>'Excel-Intermediate'!$G$455</c:f>
              <c:strCache>
                <c:ptCount val="1"/>
                <c:pt idx="0">
                  <c:v>Electronics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'Excel-Intermediate'!$E$456:$E$459</c:f>
              <c:strCache>
                <c:ptCount val="4"/>
                <c:pt idx="0">
                  <c:v>East</c:v>
                </c:pt>
                <c:pt idx="1">
                  <c:v>West</c:v>
                </c:pt>
                <c:pt idx="2">
                  <c:v>North</c:v>
                </c:pt>
                <c:pt idx="3">
                  <c:v>South</c:v>
                </c:pt>
              </c:strCache>
            </c:strRef>
          </c:cat>
          <c:val>
            <c:numRef>
              <c:f>'Excel-Intermediate'!$G$456:$G$459</c:f>
              <c:numCache>
                <c:formatCode>General</c:formatCode>
                <c:ptCount val="4"/>
                <c:pt idx="0">
                  <c:v>35</c:v>
                </c:pt>
                <c:pt idx="1">
                  <c:v>45</c:v>
                </c:pt>
                <c:pt idx="2">
                  <c:v>30</c:v>
                </c:pt>
                <c:pt idx="3">
                  <c:v>50</c:v>
                </c:pt>
              </c:numCache>
            </c:numRef>
          </c:val>
          <c:extLst>
            <c:ext xmlns:c16="http://schemas.microsoft.com/office/drawing/2014/chart" uri="{C3380CC4-5D6E-409C-BE32-E72D297353CC}">
              <c16:uniqueId val="{00000001-0B14-4DCB-AEC3-CAC776E4BB21}"/>
            </c:ext>
          </c:extLst>
        </c:ser>
        <c:ser>
          <c:idx val="2"/>
          <c:order val="2"/>
          <c:tx>
            <c:strRef>
              <c:f>'Excel-Intermediate'!$H$455</c:f>
              <c:strCache>
                <c:ptCount val="1"/>
                <c:pt idx="0">
                  <c:v>Accessories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'Excel-Intermediate'!$E$456:$E$459</c:f>
              <c:strCache>
                <c:ptCount val="4"/>
                <c:pt idx="0">
                  <c:v>East</c:v>
                </c:pt>
                <c:pt idx="1">
                  <c:v>West</c:v>
                </c:pt>
                <c:pt idx="2">
                  <c:v>North</c:v>
                </c:pt>
                <c:pt idx="3">
                  <c:v>South</c:v>
                </c:pt>
              </c:strCache>
            </c:strRef>
          </c:cat>
          <c:val>
            <c:numRef>
              <c:f>'Excel-Intermediate'!$H$456:$H$459</c:f>
              <c:numCache>
                <c:formatCode>General</c:formatCode>
                <c:ptCount val="4"/>
                <c:pt idx="0">
                  <c:v>25</c:v>
                </c:pt>
                <c:pt idx="1">
                  <c:v>25</c:v>
                </c:pt>
                <c:pt idx="2">
                  <c:v>20</c:v>
                </c:pt>
                <c:pt idx="3">
                  <c:v>30</c:v>
                </c:pt>
              </c:numCache>
            </c:numRef>
          </c:val>
          <c:extLst>
            <c:ext xmlns:c16="http://schemas.microsoft.com/office/drawing/2014/chart" uri="{C3380CC4-5D6E-409C-BE32-E72D297353CC}">
              <c16:uniqueId val="{00000002-0B14-4DCB-AEC3-CAC776E4BB21}"/>
            </c:ext>
          </c:extLst>
        </c:ser>
        <c:dLbls>
          <c:dLblPos val="ctr"/>
          <c:showLegendKey val="0"/>
          <c:showVal val="1"/>
          <c:showCatName val="0"/>
          <c:showSerName val="0"/>
          <c:showPercent val="0"/>
          <c:showBubbleSize val="0"/>
        </c:dLbls>
        <c:gapWidth val="150"/>
        <c:overlap val="100"/>
        <c:axId val="75203135"/>
        <c:axId val="75203551"/>
      </c:barChart>
      <c:catAx>
        <c:axId val="7520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03551"/>
        <c:crosses val="autoZero"/>
        <c:auto val="1"/>
        <c:lblAlgn val="ctr"/>
        <c:lblOffset val="100"/>
        <c:noMultiLvlLbl val="0"/>
      </c:catAx>
      <c:valAx>
        <c:axId val="75203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03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'Excel-Intermediate'!$F$479</c:f>
              <c:strCache>
                <c:ptCount val="1"/>
                <c:pt idx="0">
                  <c:v>Count Gen1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E1F-4490-B5B7-5C03211D9A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E1F-4490-B5B7-5C03211D9A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E1F-4490-B5B7-5C03211D9A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E1F-4490-B5B7-5C03211D9A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'Excel-Intermediate'!$E$480:$E$483</c:f>
              <c:strCache>
                <c:ptCount val="4"/>
                <c:pt idx="0">
                  <c:v>    Grass</c:v>
                </c:pt>
                <c:pt idx="1">
                  <c:v>    Fire</c:v>
                </c:pt>
                <c:pt idx="2">
                  <c:v>    Water</c:v>
                </c:pt>
                <c:pt idx="3">
                  <c:v>    Bug</c:v>
                </c:pt>
              </c:strCache>
            </c:strRef>
          </c:cat>
          <c:val>
            <c:numRef>
              <c:f>'Excel-Intermediate'!$F$480:$F$483</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A57E-47F8-8F4F-0597C7C90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'Excel-Intermediate'!$F$501</c:f>
              <c:strCache>
                <c:ptCount val="1"/>
                <c:pt idx="0">
                  <c:v>Count Gen1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8C-4CB1-9F5D-F5468DC0E8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8C-4CB1-9F5D-F5468DC0E8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8C-4CB1-9F5D-F5468DC0E8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8C-4CB1-9F5D-F5468DC0E8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'Excel-Intermediate'!$E$502:$E$505</c:f>
              <c:strCache>
                <c:ptCount val="4"/>
                <c:pt idx="0">
                  <c:v>    Grass</c:v>
                </c:pt>
                <c:pt idx="1">
                  <c:v>    Fire</c:v>
                </c:pt>
                <c:pt idx="2">
                  <c:v>    Water</c:v>
                </c:pt>
                <c:pt idx="3">
                  <c:v>    Bug</c:v>
                </c:pt>
              </c:strCache>
            </c:strRef>
          </c:cat>
          <c:val>
            <c:numRef>
              <c:f>'Excel-Intermediate'!$F$502:$F$505</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7C52-4B2A-883E-DBFC3654BFFD}"/>
            </c:ext>
          </c:extLst>
        </c:ser>
        <c:ser>
          <c:idx val="1"/>
          <c:order val="1"/>
          <c:tx>
            <c:strRef>
              <c:f>'Excel-Intermediate'!$G$501</c:f>
              <c:strCache>
                <c:ptCount val="1"/>
                <c:pt idx="0">
                  <c:v>Count Gen 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488C-4CB1-9F5D-F5468DC0E8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488C-4CB1-9F5D-F5468DC0E8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488C-4CB1-9F5D-F5468DC0E8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F-488C-4CB1-9F5D-F5468DC0E8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'Excel-Intermediate'!$E$502:$E$505</c:f>
              <c:strCache>
                <c:ptCount val="4"/>
                <c:pt idx="0">
                  <c:v>    Grass</c:v>
                </c:pt>
                <c:pt idx="1">
                  <c:v>    Fire</c:v>
                </c:pt>
                <c:pt idx="2">
                  <c:v>    Water</c:v>
                </c:pt>
                <c:pt idx="3">
                  <c:v>    Bug</c:v>
                </c:pt>
              </c:strCache>
            </c:strRef>
          </c:cat>
          <c:val>
            <c:numRef>
              <c:f>'Excel-Intermediate'!$G$502:$G$505</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7C52-4B2A-883E-DBFC3654BFF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'Excel-Intermediate'!$F$524</c:f>
              <c:strCache>
                <c:ptCount val="1"/>
                <c:pt idx="0">
                  <c:v>Penjualan (Juta)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ECB-4D80-95C3-850B26F8093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ECB-4D80-95C3-850B26F8093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ECB-4D80-95C3-850B26F8093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ECB-4D80-95C3-850B26F809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'Excel-Intermediate'!$E$525:$E$528</c:f>
              <c:strCache>
                <c:ptCount val="4"/>
                <c:pt idx="0">
                  <c:v>Barat</c:v>
                </c:pt>
                <c:pt idx="1">
                  <c:v>Timur</c:v>
                </c:pt>
                <c:pt idx="2">
                  <c:v>Utara</c:v>
                </c:pt>
                <c:pt idx="3">
                  <c:v>Selatan</c:v>
                </c:pt>
              </c:strCache>
            </c:strRef>
          </c:cat>
          <c:val>
            <c:numRef>
              <c:f>'Excel-Intermediate'!$F$525:$F$528</c:f>
              <c:numCache>
                <c:formatCode>General</c:formatCode>
                <c:ptCount val="4"/>
                <c:pt idx="0">
                  <c:v>120</c:v>
                </c:pt>
                <c:pt idx="1">
                  <c:v>90</c:v>
                </c:pt>
                <c:pt idx="2">
                  <c:v>150</c:v>
                </c:pt>
                <c:pt idx="3">
                  <c:v>80</c:v>
                </c:pt>
              </c:numCache>
            </c:numRef>
          </c:val>
          <c:extLst>
            <c:ext xmlns:c16="http://schemas.microsoft.com/office/drawing/2014/chart" uri="{C3380CC4-5D6E-409C-BE32-E72D297353CC}">
              <c16:uniqueId val="{00000000-D0F0-4AB9-B11F-4235BC277EA0}"/>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'Excel-Intermediate'!$F$549</c:f>
              <c:strCache>
                <c:ptCount val="1"/>
                <c:pt idx="0">
                  <c:v>hp</c:v>
                </c:pt>
              </c:strCache>
            </c:strRef>
          </c:tx>
          <c:spPr>
            <a:ln w="28575" cap="rnd">
              <a:solidFill>
                <a:schemeClr val="accent1"/>
              </a:solidFill>
              <a:round/>
            </a:ln>
            <a:effectLst/>
          </c:spPr>
          <c:marker>
            <c:symbol val="none"/>
          </c:marker>
          <c:cat>
            <c:strRef>
              <c:f>'Excel-Intermediate'!$E$550:$E$552</c:f>
              <c:strCache>
                <c:ptCount val="3"/>
                <c:pt idx="0">
                  <c:v>bulbasaur</c:v>
                </c:pt>
                <c:pt idx="1">
                  <c:v>ivysaur</c:v>
                </c:pt>
                <c:pt idx="2">
                  <c:v>venusaur</c:v>
                </c:pt>
              </c:strCache>
            </c:strRef>
          </c:cat>
          <c:val>
            <c:numRef>
              <c:f>'Excel-Intermediate'!$F$550:$F$552</c:f>
              <c:numCache>
                <c:formatCode>General</c:formatCode>
                <c:ptCount val="3"/>
                <c:pt idx="0">
                  <c:v>45</c:v>
                </c:pt>
                <c:pt idx="1">
                  <c:v>60</c:v>
                </c:pt>
                <c:pt idx="2">
                  <c:v>80</c:v>
                </c:pt>
              </c:numCache>
            </c:numRef>
          </c:val>
          <c:smooth val="0"/>
          <c:extLst>
            <c:ext xmlns:c16="http://schemas.microsoft.com/office/drawing/2014/chart" uri="{C3380CC4-5D6E-409C-BE32-E72D297353CC}">
              <c16:uniqueId val="{00000000-4573-49F4-ADB3-E0ECF150E0CB}"/>
            </c:ext>
          </c:extLst>
        </c:ser>
        <c:ser>
          <c:idx val="1"/>
          <c:order val="1"/>
          <c:tx>
            <c:strRef>
              <c:f>'Excel-Intermediate'!$G$549</c:f>
              <c:strCache>
                <c:ptCount val="1"/>
                <c:pt idx="0">
                  <c:v>attack</c:v>
                </c:pt>
              </c:strCache>
            </c:strRef>
          </c:tx>
          <c:spPr>
            <a:ln w="28575" cap="rnd">
              <a:solidFill>
                <a:schemeClr val="accent2"/>
              </a:solidFill>
              <a:round/>
            </a:ln>
            <a:effectLst/>
          </c:spPr>
          <c:marker>
            <c:symbol val="none"/>
          </c:marker>
          <c:cat>
            <c:strRef>
              <c:f>'Excel-Intermediate'!$E$550:$E$552</c:f>
              <c:strCache>
                <c:ptCount val="3"/>
                <c:pt idx="0">
                  <c:v>bulbasaur</c:v>
                </c:pt>
                <c:pt idx="1">
                  <c:v>ivysaur</c:v>
                </c:pt>
                <c:pt idx="2">
                  <c:v>venusaur</c:v>
                </c:pt>
              </c:strCache>
            </c:strRef>
          </c:cat>
          <c:val>
            <c:numRef>
              <c:f>'Excel-Intermediate'!$G$550:$G$552</c:f>
              <c:numCache>
                <c:formatCode>General</c:formatCode>
                <c:ptCount val="3"/>
                <c:pt idx="0">
                  <c:v>49</c:v>
                </c:pt>
                <c:pt idx="1">
                  <c:v>62</c:v>
                </c:pt>
                <c:pt idx="2">
                  <c:v>82</c:v>
                </c:pt>
              </c:numCache>
            </c:numRef>
          </c:val>
          <c:smooth val="0"/>
          <c:extLst>
            <c:ext xmlns:c16="http://schemas.microsoft.com/office/drawing/2014/chart" uri="{C3380CC4-5D6E-409C-BE32-E72D297353CC}">
              <c16:uniqueId val="{00000001-4573-49F4-ADB3-E0ECF150E0CB}"/>
            </c:ext>
          </c:extLst>
        </c:ser>
        <c:ser>
          <c:idx val="2"/>
          <c:order val="2"/>
          <c:tx>
            <c:strRef>
              <c:f>'Excel-Intermediate'!$H$549</c:f>
              <c:strCache>
                <c:ptCount val="1"/>
                <c:pt idx="0">
                  <c:v>defense</c:v>
                </c:pt>
              </c:strCache>
            </c:strRef>
          </c:tx>
          <c:spPr>
            <a:ln w="28575" cap="rnd">
              <a:solidFill>
                <a:schemeClr val="accent3"/>
              </a:solidFill>
              <a:round/>
            </a:ln>
            <a:effectLst/>
          </c:spPr>
          <c:marker>
            <c:symbol val="none"/>
          </c:marker>
          <c:cat>
            <c:strRef>
              <c:f>'Excel-Intermediate'!$E$550:$E$552</c:f>
              <c:strCache>
                <c:ptCount val="3"/>
                <c:pt idx="0">
                  <c:v>bulbasaur</c:v>
                </c:pt>
                <c:pt idx="1">
                  <c:v>ivysaur</c:v>
                </c:pt>
                <c:pt idx="2">
                  <c:v>venusaur</c:v>
                </c:pt>
              </c:strCache>
            </c:strRef>
          </c:cat>
          <c:val>
            <c:numRef>
              <c:f>'Excel-Intermediate'!$H$550:$H$552</c:f>
              <c:numCache>
                <c:formatCode>General</c:formatCode>
                <c:ptCount val="3"/>
                <c:pt idx="0">
                  <c:v>49</c:v>
                </c:pt>
                <c:pt idx="1">
                  <c:v>63</c:v>
                </c:pt>
                <c:pt idx="2">
                  <c:v>83</c:v>
                </c:pt>
              </c:numCache>
            </c:numRef>
          </c:val>
          <c:smooth val="0"/>
          <c:extLst>
            <c:ext xmlns:c16="http://schemas.microsoft.com/office/drawing/2014/chart" uri="{C3380CC4-5D6E-409C-BE32-E72D297353CC}">
              <c16:uniqueId val="{00000002-4573-49F4-ADB3-E0ECF150E0CB}"/>
            </c:ext>
          </c:extLst>
        </c:ser>
        <c:dLbls>
          <c:showLegendKey val="0"/>
          <c:showVal val="0"/>
          <c:showCatName val="0"/>
          <c:showSerName val="0"/>
          <c:showPercent val="0"/>
          <c:showBubbleSize val="0"/>
        </c:dLbls>
        <c:smooth val="0"/>
        <c:axId val="145212528"/>
        <c:axId val="145219184"/>
      </c:lineChart>
      <c:catAx>
        <c:axId val="14521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9184"/>
        <c:crosses val="autoZero"/>
        <c:auto val="1"/>
        <c:lblAlgn val="ctr"/>
        <c:lblOffset val="100"/>
        <c:noMultiLvlLbl val="0"/>
      </c:catAx>
      <c:valAx>
        <c:axId val="145219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'Excel-Intermediate'!$F$568</c:f>
              <c:strCache>
                <c:ptCount val="1"/>
                <c:pt idx="0">
                  <c:v> motor A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'Excel-Intermediate'!$E$569:$E$572</c:f>
              <c:strCache>
                <c:ptCount val="4"/>
                <c:pt idx="0">
                  <c:v>jan</c:v>
                </c:pt>
                <c:pt idx="1">
                  <c:v>feb</c:v>
                </c:pt>
                <c:pt idx="2">
                  <c:v>mar</c:v>
                </c:pt>
                <c:pt idx="3">
                  <c:v>apr</c:v>
                </c:pt>
              </c:strCache>
            </c:strRef>
          </c:cat>
          <c:val>
            <c:numRef>
              <c:f>'Excel-Intermediate'!$F$569:$F$572</c:f>
              <c:numCache>
                <c:formatCode>_(* #,##0_);_(* \(#,##0\);_(* "-"_);_(@_)</c:formatCode>
                <c:ptCount val="4"/>
                <c:pt idx="0">
                  <c:v>120</c:v>
                </c:pt>
                <c:pt idx="1">
                  <c:v>150</c:v>
                </c:pt>
                <c:pt idx="2">
                  <c:v>170</c:v>
                </c:pt>
                <c:pt idx="3">
                  <c:v>160</c:v>
                </c:pt>
              </c:numCache>
            </c:numRef>
          </c:val>
          <c:smooth val="0"/>
          <c:extLst>
            <c:ext xmlns:c16="http://schemas.microsoft.com/office/drawing/2014/chart" uri="{C3380CC4-5D6E-409C-BE32-E72D297353CC}">
              <c16:uniqueId val="{00000000-2EEF-43F9-8C6C-54194E1036CF}"/>
            </c:ext>
          </c:extLst>
        </c:ser>
        <c:ser>
          <c:idx val="1"/>
          <c:order val="1"/>
          <c:tx>
            <c:strRef>
              <c:f>'Excel-Intermediate'!$G$568</c:f>
              <c:strCache>
                <c:ptCount val="1"/>
                <c:pt idx="0">
                  <c:v> motor B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'Excel-Intermediate'!$E$569:$E$572</c:f>
              <c:strCache>
                <c:ptCount val="4"/>
                <c:pt idx="0">
                  <c:v>jan</c:v>
                </c:pt>
                <c:pt idx="1">
                  <c:v>feb</c:v>
                </c:pt>
                <c:pt idx="2">
                  <c:v>mar</c:v>
                </c:pt>
                <c:pt idx="3">
                  <c:v>apr</c:v>
                </c:pt>
              </c:strCache>
            </c:strRef>
          </c:cat>
          <c:val>
            <c:numRef>
              <c:f>'Excel-Intermediate'!$G$569:$G$572</c:f>
              <c:numCache>
                <c:formatCode>_(* #,##0_);_(* \(#,##0\);_(* "-"_);_(@_)</c:formatCode>
                <c:ptCount val="4"/>
                <c:pt idx="0">
                  <c:v>100</c:v>
                </c:pt>
                <c:pt idx="1">
                  <c:v>130</c:v>
                </c:pt>
                <c:pt idx="2">
                  <c:v>160</c:v>
                </c:pt>
                <c:pt idx="3">
                  <c:v>180</c:v>
                </c:pt>
              </c:numCache>
            </c:numRef>
          </c:val>
          <c:smooth val="0"/>
          <c:extLst>
            <c:ext xmlns:c16="http://schemas.microsoft.com/office/drawing/2014/chart" uri="{C3380CC4-5D6E-409C-BE32-E72D297353CC}">
              <c16:uniqueId val="{00000001-2EEF-43F9-8C6C-54194E1036CF}"/>
            </c:ext>
          </c:extLst>
        </c:ser>
        <c:dLbls>
          <c:dLblPos val="r"/>
          <c:showLegendKey val="0"/>
          <c:showVal val="1"/>
          <c:showCatName val="0"/>
          <c:showSerName val="0"/>
          <c:showPercent val="0"/>
          <c:showBubbleSize val="0"/>
        </c:dLbls>
        <c:marker val="1"/>
        <c:smooth val="0"/>
        <c:axId val="145243728"/>
        <c:axId val="145237904"/>
      </c:lineChart>
      <c:catAx>
        <c:axId val="14524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37904"/>
        <c:crosses val="autoZero"/>
        <c:auto val="1"/>
        <c:lblAlgn val="ctr"/>
        <c:lblOffset val="100"/>
        <c:noMultiLvlLbl val="0"/>
      </c:catAx>
      <c:valAx>
        <c:axId val="14523790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4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'Excel-Intermediate'!$E$588</c:f>
              <c:strCache>
                <c:ptCount val="1"/>
                <c:pt idx="0">
                  <c:v>jan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'Excel-Intermediate'!$F$587:$H$587</c:f>
              <c:strCache>
                <c:ptCount val="3"/>
                <c:pt idx="0">
                  <c:v>motor A</c:v>
                </c:pt>
                <c:pt idx="1">
                  <c:v>motor B</c:v>
                </c:pt>
                <c:pt idx="2">
                  <c:v>motor C</c:v>
                </c:pt>
              </c:strCache>
            </c:strRef>
          </c:cat>
          <c:val>
            <c:numRef>
              <c:f>'Excel-Intermediate'!$F$588:$H$588</c:f>
              <c:numCache>
                <c:formatCode>General</c:formatCode>
                <c:ptCount val="3"/>
                <c:pt idx="0">
                  <c:v>10</c:v>
                </c:pt>
                <c:pt idx="1">
                  <c:v>15</c:v>
                </c:pt>
                <c:pt idx="2">
                  <c:v>20</c:v>
                </c:pt>
              </c:numCache>
            </c:numRef>
          </c:val>
          <c:smooth val="0"/>
          <c:extLst>
            <c:ext xmlns:c16="http://schemas.microsoft.com/office/drawing/2014/chart" uri="{C3380CC4-5D6E-409C-BE32-E72D297353CC}">
              <c16:uniqueId val="{00000000-1AA8-4AF0-8F33-E7057DADE59E}"/>
            </c:ext>
          </c:extLst>
        </c:ser>
        <c:ser>
          <c:idx val="1"/>
          <c:order val="1"/>
          <c:tx>
            <c:strRef>
              <c:f>'Excel-Intermediate'!$E$589</c:f>
              <c:strCache>
                <c:ptCount val="1"/>
                <c:pt idx="0">
                  <c:v>feb</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'Excel-Intermediate'!$F$587:$H$587</c:f>
              <c:strCache>
                <c:ptCount val="3"/>
                <c:pt idx="0">
                  <c:v>motor A</c:v>
                </c:pt>
                <c:pt idx="1">
                  <c:v>motor B</c:v>
                </c:pt>
                <c:pt idx="2">
                  <c:v>motor C</c:v>
                </c:pt>
              </c:strCache>
            </c:strRef>
          </c:cat>
          <c:val>
            <c:numRef>
              <c:f>'Excel-Intermediate'!$F$589:$H$589</c:f>
              <c:numCache>
                <c:formatCode>General</c:formatCode>
                <c:ptCount val="3"/>
                <c:pt idx="0">
                  <c:v>12</c:v>
                </c:pt>
                <c:pt idx="1">
                  <c:v>18</c:v>
                </c:pt>
                <c:pt idx="2">
                  <c:v>22</c:v>
                </c:pt>
              </c:numCache>
            </c:numRef>
          </c:val>
          <c:smooth val="0"/>
          <c:extLst>
            <c:ext xmlns:c16="http://schemas.microsoft.com/office/drawing/2014/chart" uri="{C3380CC4-5D6E-409C-BE32-E72D297353CC}">
              <c16:uniqueId val="{00000001-1AA8-4AF0-8F33-E7057DADE59E}"/>
            </c:ext>
          </c:extLst>
        </c:ser>
        <c:ser>
          <c:idx val="2"/>
          <c:order val="2"/>
          <c:tx>
            <c:strRef>
              <c:f>'Excel-Intermediate'!$E$590</c:f>
              <c:strCache>
                <c:ptCount val="1"/>
                <c:pt idx="0">
                  <c:v>mar</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'Excel-Intermediate'!$F$587:$H$587</c:f>
              <c:strCache>
                <c:ptCount val="3"/>
                <c:pt idx="0">
                  <c:v>motor A</c:v>
                </c:pt>
                <c:pt idx="1">
                  <c:v>motor B</c:v>
                </c:pt>
                <c:pt idx="2">
                  <c:v>motor C</c:v>
                </c:pt>
              </c:strCache>
            </c:strRef>
          </c:cat>
          <c:val>
            <c:numRef>
              <c:f>'Excel-Intermediate'!$F$590:$H$590</c:f>
              <c:numCache>
                <c:formatCode>General</c:formatCode>
                <c:ptCount val="3"/>
                <c:pt idx="0">
                  <c:v>14</c:v>
                </c:pt>
                <c:pt idx="1">
                  <c:v>20</c:v>
                </c:pt>
                <c:pt idx="2">
                  <c:v>25</c:v>
                </c:pt>
              </c:numCache>
            </c:numRef>
          </c:val>
          <c:smooth val="0"/>
          <c:extLst>
            <c:ext xmlns:c16="http://schemas.microsoft.com/office/drawing/2014/chart" uri="{C3380CC4-5D6E-409C-BE32-E72D297353CC}">
              <c16:uniqueId val="{00000002-1AA8-4AF0-8F33-E7057DADE59E}"/>
            </c:ext>
          </c:extLst>
        </c:ser>
        <c:dLbls>
          <c:dLblPos val="ctr"/>
          <c:showLegendKey val="0"/>
          <c:showVal val="1"/>
          <c:showCatName val="0"/>
          <c:showSerName val="0"/>
          <c:showPercent val="0"/>
          <c:showBubbleSize val="0"/>
        </c:dLbls>
        <c:smooth val="0"/>
        <c:axId val="145206704"/>
        <c:axId val="145213360"/>
      </c:lineChart>
      <c:catAx>
        <c:axId val="14520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3360"/>
        <c:crosses val="autoZero"/>
        <c:auto val="1"/>
        <c:lblAlgn val="ctr"/>
        <c:lblOffset val="100"/>
        <c:noMultiLvlLbl val="0"/>
      </c:catAx>
      <c:valAx>
        <c:axId val="145213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0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'Excel-Intermediate'!$E$606</c:f>
              <c:strCache>
                <c:ptCount val="1"/>
                <c:pt idx="0">
                  <c:v>jan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'Excel-Intermediate'!$F$605:$H$605</c:f>
              <c:strCache>
                <c:ptCount val="3"/>
                <c:pt idx="0">
                  <c:v>motor A</c:v>
                </c:pt>
                <c:pt idx="1">
                  <c:v>motor B</c:v>
                </c:pt>
                <c:pt idx="2">
                  <c:v>motor C</c:v>
                </c:pt>
              </c:strCache>
            </c:strRef>
          </c:cat>
          <c:val>
            <c:numRef>
              <c:f>'Excel-Intermediate'!$F$606:$H$606</c:f>
              <c:numCache>
                <c:formatCode>General</c:formatCode>
                <c:ptCount val="3"/>
                <c:pt idx="0">
                  <c:v>10</c:v>
                </c:pt>
                <c:pt idx="1">
                  <c:v>15</c:v>
                </c:pt>
                <c:pt idx="2">
                  <c:v>20</c:v>
                </c:pt>
              </c:numCache>
            </c:numRef>
          </c:val>
          <c:smooth val="0"/>
          <c:extLst>
            <c:ext xmlns:c16="http://schemas.microsoft.com/office/drawing/2014/chart" uri="{C3380CC4-5D6E-409C-BE32-E72D297353CC}">
              <c16:uniqueId val="{00000000-3080-4CC8-9BE8-C33444C42EB4}"/>
            </c:ext>
          </c:extLst>
        </c:ser>
        <c:ser>
          <c:idx val="1"/>
          <c:order val="1"/>
          <c:tx>
            <c:strRef>
              <c:f>'Excel-Intermediate'!$E$607</c:f>
              <c:strCache>
                <c:ptCount val="1"/>
                <c:pt idx="0">
                  <c:v>feb</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'Excel-Intermediate'!$F$605:$H$605</c:f>
              <c:strCache>
                <c:ptCount val="3"/>
                <c:pt idx="0">
                  <c:v>motor A</c:v>
                </c:pt>
                <c:pt idx="1">
                  <c:v>motor B</c:v>
                </c:pt>
                <c:pt idx="2">
                  <c:v>motor C</c:v>
                </c:pt>
              </c:strCache>
            </c:strRef>
          </c:cat>
          <c:val>
            <c:numRef>
              <c:f>'Excel-Intermediate'!$F$607:$H$607</c:f>
              <c:numCache>
                <c:formatCode>General</c:formatCode>
                <c:ptCount val="3"/>
                <c:pt idx="0">
                  <c:v>12</c:v>
                </c:pt>
                <c:pt idx="1">
                  <c:v>18</c:v>
                </c:pt>
                <c:pt idx="2">
                  <c:v>22</c:v>
                </c:pt>
              </c:numCache>
            </c:numRef>
          </c:val>
          <c:smooth val="0"/>
          <c:extLst>
            <c:ext xmlns:c16="http://schemas.microsoft.com/office/drawing/2014/chart" uri="{C3380CC4-5D6E-409C-BE32-E72D297353CC}">
              <c16:uniqueId val="{00000001-3080-4CC8-9BE8-C33444C42EB4}"/>
            </c:ext>
          </c:extLst>
        </c:ser>
        <c:ser>
          <c:idx val="2"/>
          <c:order val="2"/>
          <c:tx>
            <c:strRef>
              <c:f>'Excel-Intermediate'!$E$608</c:f>
              <c:strCache>
                <c:ptCount val="1"/>
                <c:pt idx="0">
                  <c:v>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'Excel-Intermediate'!$F$605:$H$605</c:f>
              <c:strCache>
                <c:ptCount val="3"/>
                <c:pt idx="0">
                  <c:v>motor A</c:v>
                </c:pt>
                <c:pt idx="1">
                  <c:v>motor B</c:v>
                </c:pt>
                <c:pt idx="2">
                  <c:v>motor C</c:v>
                </c:pt>
              </c:strCache>
            </c:strRef>
          </c:cat>
          <c:val>
            <c:numRef>
              <c:f>'Excel-Intermediate'!$F$608:$H$608</c:f>
              <c:numCache>
                <c:formatCode>General</c:formatCode>
                <c:ptCount val="3"/>
                <c:pt idx="0">
                  <c:v>14</c:v>
                </c:pt>
                <c:pt idx="1">
                  <c:v>20</c:v>
                </c:pt>
                <c:pt idx="2">
                  <c:v>25</c:v>
                </c:pt>
              </c:numCache>
            </c:numRef>
          </c:val>
          <c:smooth val="0"/>
          <c:extLst>
            <c:ext xmlns:c16="http://schemas.microsoft.com/office/drawing/2014/chart" uri="{C3380CC4-5D6E-409C-BE32-E72D297353CC}">
              <c16:uniqueId val="{00000002-3080-4CC8-9BE8-C33444C42EB4}"/>
            </c:ext>
          </c:extLst>
        </c:ser>
        <c:dLbls>
          <c:dLblPos val="ctr"/>
          <c:showLegendKey val="0"/>
          <c:showVal val="1"/>
          <c:showCatName val="0"/>
          <c:showSerName val="0"/>
          <c:showPercent val="0"/>
          <c:showBubbleSize val="0"/>
        </c:dLbls>
        <c:marker val="1"/>
        <c:smooth val="0"/>
        <c:axId val="47525040"/>
        <c:axId val="47525456"/>
      </c:lineChart>
      <c:catAx>
        <c:axId val="4752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456"/>
        <c:crosses val="autoZero"/>
        <c:auto val="1"/>
        <c:lblAlgn val="ctr"/>
        <c:lblOffset val="100"/>
        <c:noMultiLvlLbl val="0"/>
      </c:catAx>
      <c:valAx>
        <c:axId val="4752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percentStacked"/>
        <c:varyColors val="0"/>
        <c:ser>
          <c:idx val="0"/>
          <c:order val="0"/>
          <c:tx>
            <c:strRef>
              <c:f>'Excel-Intermediate'!$E$626</c:f>
              <c:strCache>
                <c:ptCount val="1"/>
                <c:pt idx="0">
                  <c:v>jan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'Excel-Intermediate'!$F$625:$H$625</c:f>
              <c:strCache>
                <c:ptCount val="3"/>
                <c:pt idx="0">
                  <c:v>motor A</c:v>
                </c:pt>
                <c:pt idx="1">
                  <c:v>motor B</c:v>
                </c:pt>
                <c:pt idx="2">
                  <c:v>motor C</c:v>
                </c:pt>
              </c:strCache>
            </c:strRef>
          </c:cat>
          <c:val>
            <c:numRef>
              <c:f>'Excel-Intermediate'!$F$626:$H$626</c:f>
              <c:numCache>
                <c:formatCode>General</c:formatCode>
                <c:ptCount val="3"/>
                <c:pt idx="0">
                  <c:v>40</c:v>
                </c:pt>
                <c:pt idx="1">
                  <c:v>30</c:v>
                </c:pt>
                <c:pt idx="2">
                  <c:v>30</c:v>
                </c:pt>
              </c:numCache>
            </c:numRef>
          </c:val>
          <c:smooth val="0"/>
          <c:extLst>
            <c:ext xmlns:c16="http://schemas.microsoft.com/office/drawing/2014/chart" uri="{C3380CC4-5D6E-409C-BE32-E72D297353CC}">
              <c16:uniqueId val="{00000000-F414-4167-9493-5EBFD5B4F2E2}"/>
            </c:ext>
          </c:extLst>
        </c:ser>
        <c:ser>
          <c:idx val="1"/>
          <c:order val="1"/>
          <c:tx>
            <c:strRef>
              <c:f>'Excel-Intermediate'!$E$627</c:f>
              <c:strCache>
                <c:ptCount val="1"/>
                <c:pt idx="0">
                  <c:v>feb</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'Excel-Intermediate'!$F$625:$H$625</c:f>
              <c:strCache>
                <c:ptCount val="3"/>
                <c:pt idx="0">
                  <c:v>motor A</c:v>
                </c:pt>
                <c:pt idx="1">
                  <c:v>motor B</c:v>
                </c:pt>
                <c:pt idx="2">
                  <c:v>motor C</c:v>
                </c:pt>
              </c:strCache>
            </c:strRef>
          </c:cat>
          <c:val>
            <c:numRef>
              <c:f>'Excel-Intermediate'!$F$627:$H$627</c:f>
              <c:numCache>
                <c:formatCode>General</c:formatCode>
                <c:ptCount val="3"/>
                <c:pt idx="0">
                  <c:v>50</c:v>
                </c:pt>
                <c:pt idx="1">
                  <c:v>20</c:v>
                </c:pt>
                <c:pt idx="2">
                  <c:v>30</c:v>
                </c:pt>
              </c:numCache>
            </c:numRef>
          </c:val>
          <c:smooth val="0"/>
          <c:extLst>
            <c:ext xmlns:c16="http://schemas.microsoft.com/office/drawing/2014/chart" uri="{C3380CC4-5D6E-409C-BE32-E72D297353CC}">
              <c16:uniqueId val="{00000001-F414-4167-9493-5EBFD5B4F2E2}"/>
            </c:ext>
          </c:extLst>
        </c:ser>
        <c:ser>
          <c:idx val="2"/>
          <c:order val="2"/>
          <c:tx>
            <c:strRef>
              <c:f>'Excel-Intermediate'!$E$628</c:f>
              <c:strCache>
                <c:ptCount val="1"/>
                <c:pt idx="0">
                  <c:v>mar</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'Excel-Intermediate'!$F$625:$H$625</c:f>
              <c:strCache>
                <c:ptCount val="3"/>
                <c:pt idx="0">
                  <c:v>motor A</c:v>
                </c:pt>
                <c:pt idx="1">
                  <c:v>motor B</c:v>
                </c:pt>
                <c:pt idx="2">
                  <c:v>motor C</c:v>
                </c:pt>
              </c:strCache>
            </c:strRef>
          </c:cat>
          <c:val>
            <c:numRef>
              <c:f>'Excel-Intermediate'!$F$628:$H$628</c:f>
              <c:numCache>
                <c:formatCode>General</c:formatCode>
                <c:ptCount val="3"/>
                <c:pt idx="0">
                  <c:v>60</c:v>
                </c:pt>
                <c:pt idx="1">
                  <c:v>25</c:v>
                </c:pt>
                <c:pt idx="2">
                  <c:v>15</c:v>
                </c:pt>
              </c:numCache>
            </c:numRef>
          </c:val>
          <c:smooth val="0"/>
          <c:extLst>
            <c:ext xmlns:c16="http://schemas.microsoft.com/office/drawing/2014/chart" uri="{C3380CC4-5D6E-409C-BE32-E72D297353CC}">
              <c16:uniqueId val="{00000002-F414-4167-9493-5EBFD5B4F2E2}"/>
            </c:ext>
          </c:extLst>
        </c:ser>
        <c:dLbls>
          <c:dLblPos val="ctr"/>
          <c:showLegendKey val="0"/>
          <c:showVal val="1"/>
          <c:showCatName val="0"/>
          <c:showSerName val="0"/>
          <c:showPercent val="0"/>
          <c:showBubbleSize val="0"/>
        </c:dLbls>
        <c:smooth val="0"/>
        <c:axId val="217961792"/>
        <c:axId val="217960544"/>
      </c:lineChart>
      <c:catAx>
        <c:axId val="217961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960544"/>
        <c:crosses val="autoZero"/>
        <c:auto val="1"/>
        <c:lblAlgn val="ctr"/>
        <c:lblOffset val="100"/>
        <c:noMultiLvlLbl val="0"/>
      </c:catAx>
      <c:valAx>
        <c:axId val="217960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96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percentStacked"/>
        <c:varyColors val="0"/>
        <c:ser>
          <c:idx val="0"/>
          <c:order val="0"/>
          <c:tx>
            <c:strRef>
              <c:f>'Excel-Intermediate'!$E$626</c:f>
              <c:strCache>
                <c:ptCount val="1"/>
                <c:pt idx="0">
                  <c:v>jan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'Excel-Intermediate'!$F$625:$H$625</c:f>
              <c:strCache>
                <c:ptCount val="3"/>
                <c:pt idx="0">
                  <c:v>motor A</c:v>
                </c:pt>
                <c:pt idx="1">
                  <c:v>motor B</c:v>
                </c:pt>
                <c:pt idx="2">
                  <c:v>motor C</c:v>
                </c:pt>
              </c:strCache>
            </c:strRef>
          </c:cat>
          <c:val>
            <c:numRef>
              <c:f>'Excel-Intermediate'!$F$626:$H$626</c:f>
              <c:numCache>
                <c:formatCode>General</c:formatCode>
                <c:ptCount val="3"/>
                <c:pt idx="0">
                  <c:v>40</c:v>
                </c:pt>
                <c:pt idx="1">
                  <c:v>30</c:v>
                </c:pt>
                <c:pt idx="2">
                  <c:v>30</c:v>
                </c:pt>
              </c:numCache>
            </c:numRef>
          </c:val>
          <c:smooth val="0"/>
          <c:extLst>
            <c:ext xmlns:c16="http://schemas.microsoft.com/office/drawing/2014/chart" uri="{C3380CC4-5D6E-409C-BE32-E72D297353CC}">
              <c16:uniqueId val="{00000000-2D5D-4EFC-9A5D-1775559CBE8E}"/>
            </c:ext>
          </c:extLst>
        </c:ser>
        <c:ser>
          <c:idx val="1"/>
          <c:order val="1"/>
          <c:tx>
            <c:strRef>
              <c:f>'Excel-Intermediate'!$E$627</c:f>
              <c:strCache>
                <c:ptCount val="1"/>
                <c:pt idx="0">
                  <c:v>feb</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'Excel-Intermediate'!$F$625:$H$625</c:f>
              <c:strCache>
                <c:ptCount val="3"/>
                <c:pt idx="0">
                  <c:v>motor A</c:v>
                </c:pt>
                <c:pt idx="1">
                  <c:v>motor B</c:v>
                </c:pt>
                <c:pt idx="2">
                  <c:v>motor C</c:v>
                </c:pt>
              </c:strCache>
            </c:strRef>
          </c:cat>
          <c:val>
            <c:numRef>
              <c:f>'Excel-Intermediate'!$F$627:$H$627</c:f>
              <c:numCache>
                <c:formatCode>General</c:formatCode>
                <c:ptCount val="3"/>
                <c:pt idx="0">
                  <c:v>50</c:v>
                </c:pt>
                <c:pt idx="1">
                  <c:v>20</c:v>
                </c:pt>
                <c:pt idx="2">
                  <c:v>30</c:v>
                </c:pt>
              </c:numCache>
            </c:numRef>
          </c:val>
          <c:smooth val="0"/>
          <c:extLst>
            <c:ext xmlns:c16="http://schemas.microsoft.com/office/drawing/2014/chart" uri="{C3380CC4-5D6E-409C-BE32-E72D297353CC}">
              <c16:uniqueId val="{00000001-2D5D-4EFC-9A5D-1775559CBE8E}"/>
            </c:ext>
          </c:extLst>
        </c:ser>
        <c:ser>
          <c:idx val="2"/>
          <c:order val="2"/>
          <c:tx>
            <c:strRef>
              <c:f>'Excel-Intermediate'!$E$628</c:f>
              <c:strCache>
                <c:ptCount val="1"/>
                <c:pt idx="0">
                  <c:v>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'Excel-Intermediate'!$F$625:$H$625</c:f>
              <c:strCache>
                <c:ptCount val="3"/>
                <c:pt idx="0">
                  <c:v>motor A</c:v>
                </c:pt>
                <c:pt idx="1">
                  <c:v>motor B</c:v>
                </c:pt>
                <c:pt idx="2">
                  <c:v>motor C</c:v>
                </c:pt>
              </c:strCache>
            </c:strRef>
          </c:cat>
          <c:val>
            <c:numRef>
              <c:f>'Excel-Intermediate'!$F$628:$H$628</c:f>
              <c:numCache>
                <c:formatCode>General</c:formatCode>
                <c:ptCount val="3"/>
                <c:pt idx="0">
                  <c:v>60</c:v>
                </c:pt>
                <c:pt idx="1">
                  <c:v>25</c:v>
                </c:pt>
                <c:pt idx="2">
                  <c:v>15</c:v>
                </c:pt>
              </c:numCache>
            </c:numRef>
          </c:val>
          <c:smooth val="0"/>
          <c:extLst>
            <c:ext xmlns:c16="http://schemas.microsoft.com/office/drawing/2014/chart" uri="{C3380CC4-5D6E-409C-BE32-E72D297353CC}">
              <c16:uniqueId val="{00000002-2D5D-4EFC-9A5D-1775559CBE8E}"/>
            </c:ext>
          </c:extLst>
        </c:ser>
        <c:dLbls>
          <c:showLegendKey val="0"/>
          <c:showVal val="0"/>
          <c:showCatName val="0"/>
          <c:showSerName val="0"/>
          <c:showPercent val="0"/>
          <c:showBubbleSize val="0"/>
        </c:dLbls>
        <c:marker val="1"/>
        <c:smooth val="0"/>
        <c:axId val="116793696"/>
        <c:axId val="116773728"/>
      </c:lineChart>
      <c:catAx>
        <c:axId val="11679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73728"/>
        <c:crosses val="autoZero"/>
        <c:auto val="1"/>
        <c:lblAlgn val="ctr"/>
        <c:lblOffset val="100"/>
        <c:noMultiLvlLbl val="0"/>
      </c:catAx>
      <c:valAx>
        <c:axId val="116773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9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'Excel-Intermediate'!$D$665</c:f>
              <c:strCache>
                <c:ptCount val="1"/>
                <c:pt idx="0">
                  <c:v>    Bulbasaur</c:v>
                </c:pt>
              </c:strCache>
            </c:strRef>
          </c:tx>
          <c:spPr>
            <a:ln w="28575" cap="rnd">
              <a:solidFill>
                <a:schemeClr val="accent1"/>
              </a:solidFill>
              <a:round/>
            </a:ln>
            <a:effectLst/>
          </c:spPr>
          <c:marker>
            <c:symbol val="none"/>
          </c:marker>
          <c:cat>
            <c:strRef>
              <c:f>'Excel-Intermediate'!$E$664:$I$664</c:f>
              <c:strCache>
                <c:ptCount val="5"/>
                <c:pt idx="0">
                  <c:v>HP</c:v>
                </c:pt>
                <c:pt idx="1">
                  <c:v>Attack</c:v>
                </c:pt>
                <c:pt idx="2">
                  <c:v>Defense</c:v>
                </c:pt>
                <c:pt idx="3">
                  <c:v>Sp. Atk</c:v>
                </c:pt>
                <c:pt idx="4">
                  <c:v>Sp. Def</c:v>
                </c:pt>
              </c:strCache>
            </c:strRef>
          </c:cat>
          <c:val>
            <c:numRef>
              <c:f>'Excel-Intermediate'!$E$665:$I$665</c:f>
              <c:numCache>
                <c:formatCode>General</c:formatCode>
                <c:ptCount val="5"/>
                <c:pt idx="0">
                  <c:v>45</c:v>
                </c:pt>
                <c:pt idx="1">
                  <c:v>49</c:v>
                </c:pt>
                <c:pt idx="2">
                  <c:v>49</c:v>
                </c:pt>
                <c:pt idx="3">
                  <c:v>65</c:v>
                </c:pt>
                <c:pt idx="4">
                  <c:v>65</c:v>
                </c:pt>
              </c:numCache>
            </c:numRef>
          </c:val>
          <c:extLst>
            <c:ext xmlns:c16="http://schemas.microsoft.com/office/drawing/2014/chart" uri="{C3380CC4-5D6E-409C-BE32-E72D297353CC}">
              <c16:uniqueId val="{00000000-E59E-4A0F-B12C-20128C3E4538}"/>
            </c:ext>
          </c:extLst>
        </c:ser>
        <c:ser>
          <c:idx val="1"/>
          <c:order val="1"/>
          <c:tx>
            <c:strRef>
              <c:f>'Excel-Intermediate'!$D$666</c:f>
              <c:strCache>
                <c:ptCount val="1"/>
                <c:pt idx="0">
                  <c:v>    Charmander</c:v>
                </c:pt>
              </c:strCache>
            </c:strRef>
          </c:tx>
          <c:spPr>
            <a:ln w="28575" cap="rnd">
              <a:solidFill>
                <a:schemeClr val="accent2"/>
              </a:solidFill>
              <a:round/>
            </a:ln>
            <a:effectLst/>
          </c:spPr>
          <c:marker>
            <c:symbol val="none"/>
          </c:marker>
          <c:cat>
            <c:strRef>
              <c:f>'Excel-Intermediate'!$E$664:$I$664</c:f>
              <c:strCache>
                <c:ptCount val="5"/>
                <c:pt idx="0">
                  <c:v>HP</c:v>
                </c:pt>
                <c:pt idx="1">
                  <c:v>Attack</c:v>
                </c:pt>
                <c:pt idx="2">
                  <c:v>Defense</c:v>
                </c:pt>
                <c:pt idx="3">
                  <c:v>Sp. Atk</c:v>
                </c:pt>
                <c:pt idx="4">
                  <c:v>Sp. Def</c:v>
                </c:pt>
              </c:strCache>
            </c:strRef>
          </c:cat>
          <c:val>
            <c:numRef>
              <c:f>'Excel-Intermediate'!$E$666:$I$666</c:f>
              <c:numCache>
                <c:formatCode>General</c:formatCode>
                <c:ptCount val="5"/>
                <c:pt idx="0">
                  <c:v>60</c:v>
                </c:pt>
                <c:pt idx="1">
                  <c:v>62</c:v>
                </c:pt>
                <c:pt idx="2">
                  <c:v>63</c:v>
                </c:pt>
                <c:pt idx="3">
                  <c:v>80</c:v>
                </c:pt>
                <c:pt idx="4">
                  <c:v>80</c:v>
                </c:pt>
              </c:numCache>
            </c:numRef>
          </c:val>
          <c:extLst>
            <c:ext xmlns:c16="http://schemas.microsoft.com/office/drawing/2014/chart" uri="{C3380CC4-5D6E-409C-BE32-E72D297353CC}">
              <c16:uniqueId val="{00000001-E59E-4A0F-B12C-20128C3E4538}"/>
            </c:ext>
          </c:extLst>
        </c:ser>
        <c:ser>
          <c:idx val="2"/>
          <c:order val="2"/>
          <c:tx>
            <c:strRef>
              <c:f>'Excel-Intermediate'!$D$667</c:f>
              <c:strCache>
                <c:ptCount val="1"/>
                <c:pt idx="0">
                  <c:v>    Squirtle</c:v>
                </c:pt>
              </c:strCache>
            </c:strRef>
          </c:tx>
          <c:spPr>
            <a:ln w="28575" cap="rnd">
              <a:solidFill>
                <a:schemeClr val="accent3"/>
              </a:solidFill>
              <a:round/>
            </a:ln>
            <a:effectLst/>
          </c:spPr>
          <c:marker>
            <c:symbol val="none"/>
          </c:marker>
          <c:cat>
            <c:strRef>
              <c:f>'Excel-Intermediate'!$E$664:$I$664</c:f>
              <c:strCache>
                <c:ptCount val="5"/>
                <c:pt idx="0">
                  <c:v>HP</c:v>
                </c:pt>
                <c:pt idx="1">
                  <c:v>Attack</c:v>
                </c:pt>
                <c:pt idx="2">
                  <c:v>Defense</c:v>
                </c:pt>
                <c:pt idx="3">
                  <c:v>Sp. Atk</c:v>
                </c:pt>
                <c:pt idx="4">
                  <c:v>Sp. Def</c:v>
                </c:pt>
              </c:strCache>
            </c:strRef>
          </c:cat>
          <c:val>
            <c:numRef>
              <c:f>'Excel-Intermediate'!$E$667:$I$667</c:f>
              <c:numCache>
                <c:formatCode>General</c:formatCode>
                <c:ptCount val="5"/>
                <c:pt idx="0">
                  <c:v>80</c:v>
                </c:pt>
                <c:pt idx="1">
                  <c:v>82</c:v>
                </c:pt>
                <c:pt idx="2">
                  <c:v>83</c:v>
                </c:pt>
                <c:pt idx="3">
                  <c:v>100</c:v>
                </c:pt>
                <c:pt idx="4">
                  <c:v>100</c:v>
                </c:pt>
              </c:numCache>
            </c:numRef>
          </c:val>
          <c:extLst>
            <c:ext xmlns:c16="http://schemas.microsoft.com/office/drawing/2014/chart" uri="{C3380CC4-5D6E-409C-BE32-E72D297353CC}">
              <c16:uniqueId val="{00000002-E59E-4A0F-B12C-20128C3E4538}"/>
            </c:ext>
          </c:extLst>
        </c:ser>
        <c:dLbls>
          <c:showLegendKey val="0"/>
          <c:showVal val="0"/>
          <c:showCatName val="0"/>
          <c:showSerName val="0"/>
          <c:showPercent val="0"/>
          <c:showBubbleSize val="0"/>
        </c:dLbls>
        <c:axId val="145230416"/>
        <c:axId val="145245808"/>
      </c:radarChart>
      <c:catAx>
        <c:axId val="14523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45808"/>
        <c:crosses val="autoZero"/>
        <c:auto val="1"/>
        <c:lblAlgn val="ctr"/>
        <c:lblOffset val="100"/>
        <c:noMultiLvlLbl val="0"/>
      </c:catAx>
      <c:valAx>
        <c:axId val="145245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304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'Excel-Intermediate'!$D$665</c:f>
              <c:strCache>
                <c:ptCount val="1"/>
                <c:pt idx="0">
                  <c:v>    Bulbasaur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'Excel-Intermediate'!$E$664:$I$664</c:f>
              <c:strCache>
                <c:ptCount val="5"/>
                <c:pt idx="0">
                  <c:v>HP</c:v>
                </c:pt>
                <c:pt idx="1">
                  <c:v>Attack</c:v>
                </c:pt>
                <c:pt idx="2">
                  <c:v>Defense</c:v>
                </c:pt>
                <c:pt idx="3">
                  <c:v>Sp. Atk</c:v>
                </c:pt>
                <c:pt idx="4">
                  <c:v>Sp. Def</c:v>
                </c:pt>
              </c:strCache>
            </c:strRef>
          </c:cat>
          <c:val>
            <c:numRef>
              <c:f>'Excel-Intermediate'!$E$665:$I$665</c:f>
              <c:numCache>
                <c:formatCode>General</c:formatCode>
                <c:ptCount val="5"/>
                <c:pt idx="0">
                  <c:v>45</c:v>
                </c:pt>
                <c:pt idx="1">
                  <c:v>49</c:v>
                </c:pt>
                <c:pt idx="2">
                  <c:v>49</c:v>
                </c:pt>
                <c:pt idx="3">
                  <c:v>65</c:v>
                </c:pt>
                <c:pt idx="4">
                  <c:v>65</c:v>
                </c:pt>
              </c:numCache>
            </c:numRef>
          </c:val>
          <c:extLst>
            <c:ext xmlns:c16="http://schemas.microsoft.com/office/drawing/2014/chart" uri="{C3380CC4-5D6E-409C-BE32-E72D297353CC}">
              <c16:uniqueId val="{00000000-E4BC-481A-8732-81B4FFC67D9D}"/>
            </c:ext>
          </c:extLst>
        </c:ser>
        <c:ser>
          <c:idx val="1"/>
          <c:order val="1"/>
          <c:tx>
            <c:strRef>
              <c:f>'Excel-Intermediate'!$D$666</c:f>
              <c:strCache>
                <c:ptCount val="1"/>
                <c:pt idx="0">
                  <c:v>    Charmander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'Excel-Intermediate'!$E$664:$I$664</c:f>
              <c:strCache>
                <c:ptCount val="5"/>
                <c:pt idx="0">
                  <c:v>HP</c:v>
                </c:pt>
                <c:pt idx="1">
                  <c:v>Attack</c:v>
                </c:pt>
                <c:pt idx="2">
                  <c:v>Defense</c:v>
                </c:pt>
                <c:pt idx="3">
                  <c:v>Sp. Atk</c:v>
                </c:pt>
                <c:pt idx="4">
                  <c:v>Sp. Def</c:v>
                </c:pt>
              </c:strCache>
            </c:strRef>
          </c:cat>
          <c:val>
            <c:numRef>
              <c:f>'Excel-Intermediate'!$E$666:$I$666</c:f>
              <c:numCache>
                <c:formatCode>General</c:formatCode>
                <c:ptCount val="5"/>
                <c:pt idx="0">
                  <c:v>60</c:v>
                </c:pt>
                <c:pt idx="1">
                  <c:v>62</c:v>
                </c:pt>
                <c:pt idx="2">
                  <c:v>63</c:v>
                </c:pt>
                <c:pt idx="3">
                  <c:v>80</c:v>
                </c:pt>
                <c:pt idx="4">
                  <c:v>80</c:v>
                </c:pt>
              </c:numCache>
            </c:numRef>
          </c:val>
          <c:extLst>
            <c:ext xmlns:c16="http://schemas.microsoft.com/office/drawing/2014/chart" uri="{C3380CC4-5D6E-409C-BE32-E72D297353CC}">
              <c16:uniqueId val="{00000001-E4BC-481A-8732-81B4FFC67D9D}"/>
            </c:ext>
          </c:extLst>
        </c:ser>
        <c:ser>
          <c:idx val="2"/>
          <c:order val="2"/>
          <c:tx>
            <c:strRef>
              <c:f>'Excel-Intermediate'!$D$667</c:f>
              <c:strCache>
                <c:ptCount val="1"/>
                <c:pt idx="0">
                  <c:v>    Squirtle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'Excel-Intermediate'!$E$664:$I$664</c:f>
              <c:strCache>
                <c:ptCount val="5"/>
                <c:pt idx="0">
                  <c:v>HP</c:v>
                </c:pt>
                <c:pt idx="1">
                  <c:v>Attack</c:v>
                </c:pt>
                <c:pt idx="2">
                  <c:v>Defense</c:v>
                </c:pt>
                <c:pt idx="3">
                  <c:v>Sp. Atk</c:v>
                </c:pt>
                <c:pt idx="4">
                  <c:v>Sp. Def</c:v>
                </c:pt>
              </c:strCache>
            </c:strRef>
          </c:cat>
          <c:val>
            <c:numRef>
              <c:f>'Excel-Intermediate'!$E$667:$I$667</c:f>
              <c:numCache>
                <c:formatCode>General</c:formatCode>
                <c:ptCount val="5"/>
                <c:pt idx="0">
                  <c:v>80</c:v>
                </c:pt>
                <c:pt idx="1">
                  <c:v>82</c:v>
                </c:pt>
                <c:pt idx="2">
                  <c:v>83</c:v>
                </c:pt>
                <c:pt idx="3">
                  <c:v>100</c:v>
                </c:pt>
                <c:pt idx="4">
                  <c:v>100</c:v>
                </c:pt>
              </c:numCache>
            </c:numRef>
          </c:val>
          <c:extLst>
            <c:ext xmlns:c16="http://schemas.microsoft.com/office/drawing/2014/chart" uri="{C3380CC4-5D6E-409C-BE32-E72D297353CC}">
              <c16:uniqueId val="{00000002-E4BC-481A-8732-81B4FFC67D9D}"/>
            </c:ext>
          </c:extLst>
        </c:ser>
        <c:dLbls>
          <c:showLegendKey val="0"/>
          <c:showVal val="0"/>
          <c:showCatName val="0"/>
          <c:showSerName val="0"/>
          <c:showPercent val="0"/>
          <c:showBubbleSize val="0"/>
        </c:dLbls>
        <c:axId val="1534823424"/>
        <c:axId val="1534814688"/>
      </c:radarChart>
      <c:catAx>
        <c:axId val="153482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814688"/>
        <c:crosses val="autoZero"/>
        <c:auto val="1"/>
        <c:lblAlgn val="ctr"/>
        <c:lblOffset val="100"/>
        <c:noMultiLvlLbl val="0"/>
      </c:catAx>
      <c:valAx>
        <c:axId val="1534814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8234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radarChart>
        <c:radarStyle val="filled"/>
        <c:varyColors val="0"/>
        <c:ser>
          <c:idx val="0"/>
          <c:order val="0"/>
          <c:spPr>
            <a:solidFill>
              <a:schemeClr val="accent1">
                <a:alpha val="50196"/>
              </a:schemeClr>
            </a:solidFill>
            <a:ln w="25400">
              <a:solidFill>
                <a:schemeClr val="accent1"/>
              </a:solidFill>
              <a:prstDash val="sysDot"/>
            </a:ln>
            <a:effectLst/>
          </c:spPr>
          <c:cat>
            <c:strRef>
              <c:f>'Excel-Intermediate'!$E$664:$I$664</c:f>
              <c:strCache>
                <c:ptCount val="5"/>
                <c:pt idx="0">
                  <c:v>HP</c:v>
                </c:pt>
                <c:pt idx="1">
                  <c:v>Attack</c:v>
                </c:pt>
                <c:pt idx="2">
                  <c:v>Defense</c:v>
                </c:pt>
                <c:pt idx="3">
                  <c:v>Sp. Atk</c:v>
                </c:pt>
                <c:pt idx="4">
                  <c:v>Sp. Def</c:v>
                </c:pt>
              </c:strCache>
            </c:strRef>
          </c:cat>
          <c:val>
            <c:numRef>
              <c:f>'Excel-Intermediate'!$E$665:$I$665</c:f>
              <c:numCache>
                <c:formatCode>General</c:formatCode>
                <c:ptCount val="5"/>
                <c:pt idx="0">
                  <c:v>45</c:v>
                </c:pt>
                <c:pt idx="1">
                  <c:v>49</c:v>
                </c:pt>
                <c:pt idx="2">
                  <c:v>49</c:v>
                </c:pt>
                <c:pt idx="3">
                  <c:v>65</c:v>
                </c:pt>
                <c:pt idx="4">
                  <c:v>65</c:v>
                </c:pt>
              </c:numCache>
            </c:numRef>
          </c:val>
          <c:extLst>
            <c:ext xmlns:c16="http://schemas.microsoft.com/office/drawing/2014/chart" uri="{C3380CC4-5D6E-409C-BE32-E72D297353CC}">
              <c16:uniqueId val="{00000000-8406-4CF7-809D-C541CBCA6A99}"/>
            </c:ext>
          </c:extLst>
        </c:ser>
        <c:ser>
          <c:idx val="1"/>
          <c:order val="1"/>
          <c:spPr>
            <a:solidFill>
              <a:schemeClr val="accent2">
                <a:alpha val="50196"/>
              </a:schemeClr>
            </a:solidFill>
            <a:ln w="25400">
              <a:solidFill>
                <a:schemeClr val="accent2"/>
              </a:solidFill>
              <a:prstDash val="sysDot"/>
            </a:ln>
            <a:effectLst/>
          </c:spPr>
          <c:cat>
            <c:strRef>
              <c:f>'Excel-Intermediate'!$E$664:$I$664</c:f>
              <c:strCache>
                <c:ptCount val="5"/>
                <c:pt idx="0">
                  <c:v>HP</c:v>
                </c:pt>
                <c:pt idx="1">
                  <c:v>Attack</c:v>
                </c:pt>
                <c:pt idx="2">
                  <c:v>Defense</c:v>
                </c:pt>
                <c:pt idx="3">
                  <c:v>Sp. Atk</c:v>
                </c:pt>
                <c:pt idx="4">
                  <c:v>Sp. Def</c:v>
                </c:pt>
              </c:strCache>
            </c:strRef>
          </c:cat>
          <c:val>
            <c:numRef>
              <c:f>'Excel-Intermediate'!$E$666:$I$666</c:f>
              <c:numCache>
                <c:formatCode>General</c:formatCode>
                <c:ptCount val="5"/>
                <c:pt idx="0">
                  <c:v>60</c:v>
                </c:pt>
                <c:pt idx="1">
                  <c:v>62</c:v>
                </c:pt>
                <c:pt idx="2">
                  <c:v>63</c:v>
                </c:pt>
                <c:pt idx="3">
                  <c:v>80</c:v>
                </c:pt>
                <c:pt idx="4">
                  <c:v>80</c:v>
                </c:pt>
              </c:numCache>
            </c:numRef>
          </c:val>
          <c:extLst>
            <c:ext xmlns:c16="http://schemas.microsoft.com/office/drawing/2014/chart" uri="{C3380CC4-5D6E-409C-BE32-E72D297353CC}">
              <c16:uniqueId val="{00000001-8406-4CF7-809D-C541CBCA6A99}"/>
            </c:ext>
          </c:extLst>
        </c:ser>
        <c:ser>
          <c:idx val="2"/>
          <c:order val="2"/>
          <c:spPr>
            <a:solidFill>
              <a:schemeClr val="accent3">
                <a:alpha val="50196"/>
              </a:schemeClr>
            </a:solidFill>
            <a:ln w="25400">
              <a:solidFill>
                <a:schemeClr val="accent3"/>
              </a:solidFill>
              <a:prstDash val="sysDot"/>
            </a:ln>
            <a:effectLst/>
          </c:spPr>
          <c:cat>
            <c:strRef>
              <c:f>'Excel-Intermediate'!$E$664:$I$664</c:f>
              <c:strCache>
                <c:ptCount val="5"/>
                <c:pt idx="0">
                  <c:v>HP</c:v>
                </c:pt>
                <c:pt idx="1">
                  <c:v>Attack</c:v>
                </c:pt>
                <c:pt idx="2">
                  <c:v>Defense</c:v>
                </c:pt>
                <c:pt idx="3">
                  <c:v>Sp. Atk</c:v>
                </c:pt>
                <c:pt idx="4">
                  <c:v>Sp. Def</c:v>
                </c:pt>
              </c:strCache>
            </c:strRef>
          </c:cat>
          <c:val>
            <c:numRef>
              <c:f>'Excel-Intermediate'!$E$667:$I$667</c:f>
              <c:numCache>
                <c:formatCode>General</c:formatCode>
                <c:ptCount val="5"/>
                <c:pt idx="0">
                  <c:v>80</c:v>
                </c:pt>
                <c:pt idx="1">
                  <c:v>82</c:v>
                </c:pt>
                <c:pt idx="2">
                  <c:v>83</c:v>
                </c:pt>
                <c:pt idx="3">
                  <c:v>100</c:v>
                </c:pt>
                <c:pt idx="4">
                  <c:v>100</c:v>
                </c:pt>
              </c:numCache>
            </c:numRef>
          </c:val>
          <c:extLst>
            <c:ext xmlns:c16="http://schemas.microsoft.com/office/drawing/2014/chart" uri="{C3380CC4-5D6E-409C-BE32-E72D297353CC}">
              <c16:uniqueId val="{00000002-8406-4CF7-809D-C541CBCA6A99}"/>
            </c:ext>
          </c:extLst>
        </c:ser>
        <c:dLbls>
          <c:showLegendKey val="0"/>
          <c:showVal val="0"/>
          <c:showCatName val="0"/>
          <c:showSerName val="0"/>
          <c:showPercent val="0"/>
          <c:showBubbleSize val="0"/>
        </c:dLbls>
        <c:axId val="116789952"/>
        <c:axId val="116779136"/>
      </c:radarChart>
      <c:catAx>
        <c:axId val="11678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79136"/>
        <c:crosses val="autoZero"/>
        <c:auto val="1"/>
        <c:lblAlgn val="ctr"/>
        <c:lblOffset val="100"/>
        <c:noMultiLvlLbl val="0"/>
      </c:catAx>
      <c:valAx>
        <c:axId val="116779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899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[Intermediate-Excel.xlsm]Intermediate - 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'Intermediate - Pivot Table'!$E$55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2DA-4C2F-88F6-044D9303B8C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2DA-4C2F-88F6-044D9303B8C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2DA-4C2F-88F6-044D9303B8C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2DA-4C2F-88F6-044D9303B8C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2DA-4C2F-88F6-044D9303B8C0}"/>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2DA-4C2F-88F6-044D9303B8C0}"/>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2DA-4C2F-88F6-044D9303B8C0}"/>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2DA-4C2F-88F6-044D9303B8C0}"/>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2DA-4C2F-88F6-044D9303B8C0}"/>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2DA-4C2F-88F6-044D9303B8C0}"/>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2DA-4C2F-88F6-044D9303B8C0}"/>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2DA-4C2F-88F6-044D9303B8C0}"/>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2DA-4C2F-88F6-044D9303B8C0}"/>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2DA-4C2F-88F6-044D9303B8C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'Intermediate - Pivot Table'!$D$56:$D$70</c:f>
              <c:strCache>
                <c:ptCount val="14"/>
                <c:pt idx="0">
                  <c:v>March</c:v>
                </c:pt>
                <c:pt idx="1">
                  <c:v>Avanza</c:v>
                </c:pt>
                <c:pt idx="2">
                  <c:v>Brio</c:v>
                </c:pt>
                <c:pt idx="3">
                  <c:v>Creta</c:v>
                </c:pt>
                <c:pt idx="4">
                  <c:v>CRV</c:v>
                </c:pt>
                <c:pt idx="5">
                  <c:v>Ertiga</c:v>
                </c:pt>
                <c:pt idx="6">
                  <c:v>Innova</c:v>
                </c:pt>
                <c:pt idx="7">
                  <c:v>Jazz</c:v>
                </c:pt>
                <c:pt idx="8">
                  <c:v>Juke</c:v>
                </c:pt>
                <c:pt idx="9">
                  <c:v>Land Cruiser</c:v>
                </c:pt>
                <c:pt idx="10">
                  <c:v>Pajero</c:v>
                </c:pt>
                <c:pt idx="11">
                  <c:v>Palisade</c:v>
                </c:pt>
                <c:pt idx="12">
                  <c:v>Swift</c:v>
                </c:pt>
                <c:pt idx="13">
                  <c:v>Xpander</c:v>
                </c:pt>
              </c:strCache>
            </c:strRef>
          </c:cat>
          <c:val>
            <c:numRef>
              <c:f>'Intermediate - Pivot Table'!$E$56:$E$70</c:f>
              <c:numCache>
                <c:formatCode>0.00%</c:formatCode>
                <c:ptCount val="14"/>
                <c:pt idx="0">
                  <c:v>7.3208617833333711E-2</c:v>
                </c:pt>
                <c:pt idx="1">
                  <c:v>7.3811426080765186E-2</c:v>
                </c:pt>
                <c:pt idx="2">
                  <c:v>7.7615634885501689E-2</c:v>
                </c:pt>
                <c:pt idx="3">
                  <c:v>3.25115950827446E-2</c:v>
                </c:pt>
                <c:pt idx="4">
                  <c:v>7.8251027362524053E-2</c:v>
                </c:pt>
                <c:pt idx="5">
                  <c:v>8.194119136369242E-2</c:v>
                </c:pt>
                <c:pt idx="6">
                  <c:v>8.9590339260154014E-2</c:v>
                </c:pt>
                <c:pt idx="7">
                  <c:v>7.2622101700697675E-2</c:v>
                </c:pt>
                <c:pt idx="8">
                  <c:v>8.2267033659601335E-2</c:v>
                </c:pt>
                <c:pt idx="9">
                  <c:v>8.7252420787007609E-2</c:v>
                </c:pt>
                <c:pt idx="10">
                  <c:v>8.5492872389099514E-2</c:v>
                </c:pt>
                <c:pt idx="11">
                  <c:v>1.3365140094191215E-2</c:v>
                </c:pt>
                <c:pt idx="12">
                  <c:v>8.0189789023182051E-2</c:v>
                </c:pt>
                <c:pt idx="13">
                  <c:v>7.1880810477504914E-2</c:v>
                </c:pt>
              </c:numCache>
            </c:numRef>
          </c:val>
          <c:extLst>
            <c:ext xmlns:c16="http://schemas.microsoft.com/office/drawing/2014/chart" uri="{C3380CC4-5D6E-409C-BE32-E72D297353CC}">
              <c16:uniqueId val="{00000000-9ADC-4E8B-9CFD-4860E4E9219C}"/>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3</xdr:col>
      <xdr:colOff>95250</xdr:colOff>
      <xdr:row>349</xdr:row>
      <xdr:rowOff>129036</xdr:rowOff>
    </xdr:from>
    <xdr:to>
      <xdr:col>4</xdr:col>
      <xdr:colOff>3283429</xdr:colOff>
      <xdr:row>363</xdr:row>
      <xdr:rowOff>104594</xdr:rowOff>
    </xdr:to>
    <xdr:graphicFrame macro="">
      <xdr:nvGraphicFramePr>
        <xdr:cNvPr id="2" name="Chart 1">
          <a:extLst>
            <a:ext uri="{FF2B5EF4-FFF2-40B4-BE49-F238E27FC236}">
              <a16:creationId xmlns:a16="http://schemas.microsoft.com/office/drawing/2014/main" id="{20E8479B-DD1A-44F3-A6CC-8A6928697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354054</xdr:colOff>
      <xdr:row>374</xdr:row>
      <xdr:rowOff>49817</xdr:rowOff>
    </xdr:from>
    <xdr:to>
      <xdr:col>4</xdr:col>
      <xdr:colOff>2783087</xdr:colOff>
      <xdr:row>384</xdr:row>
      <xdr:rowOff>179177</xdr:rowOff>
    </xdr:to>
    <xdr:graphicFrame macro="">
      <xdr:nvGraphicFramePr>
        <xdr:cNvPr id="3" name="Chart 2">
          <a:extLst>
            <a:ext uri="{FF2B5EF4-FFF2-40B4-BE49-F238E27FC236}">
              <a16:creationId xmlns:a16="http://schemas.microsoft.com/office/drawing/2014/main" id="{BE1D9D01-1C89-48A3-9FD4-A8A79C64FD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3122764</xdr:colOff>
      <xdr:row>374</xdr:row>
      <xdr:rowOff>42537</xdr:rowOff>
    </xdr:from>
    <xdr:to>
      <xdr:col>8</xdr:col>
      <xdr:colOff>209819</xdr:colOff>
      <xdr:row>385</xdr:row>
      <xdr:rowOff>15466</xdr:rowOff>
    </xdr:to>
    <xdr:graphicFrame macro="">
      <xdr:nvGraphicFramePr>
        <xdr:cNvPr id="4" name="Chart 3">
          <a:extLst>
            <a:ext uri="{FF2B5EF4-FFF2-40B4-BE49-F238E27FC236}">
              <a16:creationId xmlns:a16="http://schemas.microsoft.com/office/drawing/2014/main" id="{2C5ACE34-BF32-4F03-9C23-F37F44D007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57651</xdr:colOff>
      <xdr:row>394</xdr:row>
      <xdr:rowOff>126080</xdr:rowOff>
    </xdr:from>
    <xdr:to>
      <xdr:col>5</xdr:col>
      <xdr:colOff>990099</xdr:colOff>
      <xdr:row>405</xdr:row>
      <xdr:rowOff>0</xdr:rowOff>
    </xdr:to>
    <xdr:graphicFrame macro="">
      <xdr:nvGraphicFramePr>
        <xdr:cNvPr id="5" name="Chart 4">
          <a:extLst>
            <a:ext uri="{FF2B5EF4-FFF2-40B4-BE49-F238E27FC236}">
              <a16:creationId xmlns:a16="http://schemas.microsoft.com/office/drawing/2014/main" id="{ECE002CC-46CB-4345-9363-1DBF50EAE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1787191</xdr:colOff>
      <xdr:row>417</xdr:row>
      <xdr:rowOff>175462</xdr:rowOff>
    </xdr:from>
    <xdr:to>
      <xdr:col>5</xdr:col>
      <xdr:colOff>914902</xdr:colOff>
      <xdr:row>429</xdr:row>
      <xdr:rowOff>75199</xdr:rowOff>
    </xdr:to>
    <xdr:graphicFrame macro="">
      <xdr:nvGraphicFramePr>
        <xdr:cNvPr id="6" name="Chart 5">
          <a:extLst>
            <a:ext uri="{FF2B5EF4-FFF2-40B4-BE49-F238E27FC236}">
              <a16:creationId xmlns:a16="http://schemas.microsoft.com/office/drawing/2014/main" id="{876B4171-2A95-4476-85C8-D1EA9393DE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952500</xdr:colOff>
      <xdr:row>417</xdr:row>
      <xdr:rowOff>175460</xdr:rowOff>
    </xdr:from>
    <xdr:to>
      <xdr:col>9</xdr:col>
      <xdr:colOff>255671</xdr:colOff>
      <xdr:row>429</xdr:row>
      <xdr:rowOff>75198</xdr:rowOff>
    </xdr:to>
    <xdr:graphicFrame macro="">
      <xdr:nvGraphicFramePr>
        <xdr:cNvPr id="7" name="Chart 6">
          <a:extLst>
            <a:ext uri="{FF2B5EF4-FFF2-40B4-BE49-F238E27FC236}">
              <a16:creationId xmlns:a16="http://schemas.microsoft.com/office/drawing/2014/main" id="{6EA19A21-65E8-4D14-BF8C-3FC0CA288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367213</xdr:colOff>
      <xdr:row>439</xdr:row>
      <xdr:rowOff>138612</xdr:rowOff>
    </xdr:from>
    <xdr:to>
      <xdr:col>6</xdr:col>
      <xdr:colOff>1061536</xdr:colOff>
      <xdr:row>449</xdr:row>
      <xdr:rowOff>162927</xdr:rowOff>
    </xdr:to>
    <xdr:graphicFrame macro="">
      <xdr:nvGraphicFramePr>
        <xdr:cNvPr id="8" name="Chart 7">
          <a:extLst>
            <a:ext uri="{FF2B5EF4-FFF2-40B4-BE49-F238E27FC236}">
              <a16:creationId xmlns:a16="http://schemas.microsoft.com/office/drawing/2014/main" id="{BCD943A7-E6D7-401A-A9E8-7B080A16FC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430239</xdr:colOff>
      <xdr:row>459</xdr:row>
      <xdr:rowOff>159484</xdr:rowOff>
    </xdr:from>
    <xdr:to>
      <xdr:col>7</xdr:col>
      <xdr:colOff>0</xdr:colOff>
      <xdr:row>471</xdr:row>
      <xdr:rowOff>74083</xdr:rowOff>
    </xdr:to>
    <xdr:graphicFrame macro="">
      <xdr:nvGraphicFramePr>
        <xdr:cNvPr id="13" name="Chart 12">
          <a:extLst>
            <a:ext uri="{FF2B5EF4-FFF2-40B4-BE49-F238E27FC236}">
              <a16:creationId xmlns:a16="http://schemas.microsoft.com/office/drawing/2014/main" id="{39A1C3E6-A9DF-430F-95D2-48534DC7F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79375</xdr:colOff>
      <xdr:row>483</xdr:row>
      <xdr:rowOff>125941</xdr:rowOff>
    </xdr:from>
    <xdr:to>
      <xdr:col>5</xdr:col>
      <xdr:colOff>1767417</xdr:colOff>
      <xdr:row>495</xdr:row>
      <xdr:rowOff>158750</xdr:rowOff>
    </xdr:to>
    <xdr:graphicFrame macro="">
      <xdr:nvGraphicFramePr>
        <xdr:cNvPr id="9" name="Chart 8">
          <a:extLst>
            <a:ext uri="{FF2B5EF4-FFF2-40B4-BE49-F238E27FC236}">
              <a16:creationId xmlns:a16="http://schemas.microsoft.com/office/drawing/2014/main" id="{EBA11212-4FF5-4B35-BC4E-03F91E0AA7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354541</xdr:colOff>
      <xdr:row>506</xdr:row>
      <xdr:rowOff>51856</xdr:rowOff>
    </xdr:from>
    <xdr:to>
      <xdr:col>5</xdr:col>
      <xdr:colOff>1788583</xdr:colOff>
      <xdr:row>518</xdr:row>
      <xdr:rowOff>158749</xdr:rowOff>
    </xdr:to>
    <xdr:graphicFrame macro="">
      <xdr:nvGraphicFramePr>
        <xdr:cNvPr id="10" name="Chart 9">
          <a:extLst>
            <a:ext uri="{FF2B5EF4-FFF2-40B4-BE49-F238E27FC236}">
              <a16:creationId xmlns:a16="http://schemas.microsoft.com/office/drawing/2014/main" id="{2585FCBA-E625-4589-AC33-51C64B325F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159721</xdr:colOff>
      <xdr:row>528</xdr:row>
      <xdr:rowOff>174753</xdr:rowOff>
    </xdr:from>
    <xdr:to>
      <xdr:col>6</xdr:col>
      <xdr:colOff>127648</xdr:colOff>
      <xdr:row>540</xdr:row>
      <xdr:rowOff>13175</xdr:rowOff>
    </xdr:to>
    <xdr:graphicFrame macro="">
      <xdr:nvGraphicFramePr>
        <xdr:cNvPr id="11" name="Chart 10">
          <a:extLst>
            <a:ext uri="{FF2B5EF4-FFF2-40B4-BE49-F238E27FC236}">
              <a16:creationId xmlns:a16="http://schemas.microsoft.com/office/drawing/2014/main" id="{160592C3-0178-4A3E-BA97-3FE9886C65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838783</xdr:colOff>
      <xdr:row>552</xdr:row>
      <xdr:rowOff>184668</xdr:rowOff>
    </xdr:from>
    <xdr:to>
      <xdr:col>6</xdr:col>
      <xdr:colOff>787271</xdr:colOff>
      <xdr:row>563</xdr:row>
      <xdr:rowOff>35183</xdr:rowOff>
    </xdr:to>
    <xdr:graphicFrame macro="">
      <xdr:nvGraphicFramePr>
        <xdr:cNvPr id="14" name="Chart 13">
          <a:extLst>
            <a:ext uri="{FF2B5EF4-FFF2-40B4-BE49-F238E27FC236}">
              <a16:creationId xmlns:a16="http://schemas.microsoft.com/office/drawing/2014/main" id="{7362C8E1-CBA3-4314-A04E-B310300A21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340448</xdr:colOff>
      <xdr:row>572</xdr:row>
      <xdr:rowOff>113167</xdr:rowOff>
    </xdr:from>
    <xdr:to>
      <xdr:col>5</xdr:col>
      <xdr:colOff>1556065</xdr:colOff>
      <xdr:row>582</xdr:row>
      <xdr:rowOff>136179</xdr:rowOff>
    </xdr:to>
    <xdr:graphicFrame macro="">
      <xdr:nvGraphicFramePr>
        <xdr:cNvPr id="19" name="Chart 18">
          <a:extLst>
            <a:ext uri="{FF2B5EF4-FFF2-40B4-BE49-F238E27FC236}">
              <a16:creationId xmlns:a16="http://schemas.microsoft.com/office/drawing/2014/main" id="{77423410-9E7F-484F-9954-2838A079D5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368740</xdr:colOff>
      <xdr:row>590</xdr:row>
      <xdr:rowOff>109019</xdr:rowOff>
    </xdr:from>
    <xdr:to>
      <xdr:col>5</xdr:col>
      <xdr:colOff>1405174</xdr:colOff>
      <xdr:row>600</xdr:row>
      <xdr:rowOff>47154</xdr:rowOff>
    </xdr:to>
    <xdr:graphicFrame macro="">
      <xdr:nvGraphicFramePr>
        <xdr:cNvPr id="20" name="Chart 19">
          <a:extLst>
            <a:ext uri="{FF2B5EF4-FFF2-40B4-BE49-F238E27FC236}">
              <a16:creationId xmlns:a16="http://schemas.microsoft.com/office/drawing/2014/main" id="{1F0FF7D2-EE90-4833-B716-E462BCF906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312155</xdr:colOff>
      <xdr:row>608</xdr:row>
      <xdr:rowOff>99587</xdr:rowOff>
    </xdr:from>
    <xdr:to>
      <xdr:col>5</xdr:col>
      <xdr:colOff>1725817</xdr:colOff>
      <xdr:row>619</xdr:row>
      <xdr:rowOff>150891</xdr:rowOff>
    </xdr:to>
    <xdr:graphicFrame macro="">
      <xdr:nvGraphicFramePr>
        <xdr:cNvPr id="21" name="Chart 20">
          <a:extLst>
            <a:ext uri="{FF2B5EF4-FFF2-40B4-BE49-F238E27FC236}">
              <a16:creationId xmlns:a16="http://schemas.microsoft.com/office/drawing/2014/main" id="{39D83706-C9F6-4E7D-997F-29345D012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584663</xdr:colOff>
      <xdr:row>628</xdr:row>
      <xdr:rowOff>86229</xdr:rowOff>
    </xdr:from>
    <xdr:to>
      <xdr:col>6</xdr:col>
      <xdr:colOff>876152</xdr:colOff>
      <xdr:row>638</xdr:row>
      <xdr:rowOff>133356</xdr:rowOff>
    </xdr:to>
    <xdr:graphicFrame macro="">
      <xdr:nvGraphicFramePr>
        <xdr:cNvPr id="22" name="Chart 21">
          <a:extLst>
            <a:ext uri="{FF2B5EF4-FFF2-40B4-BE49-F238E27FC236}">
              <a16:creationId xmlns:a16="http://schemas.microsoft.com/office/drawing/2014/main" id="{1A1B9342-7091-499B-B0A5-285B7F8DBF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606227</xdr:colOff>
      <xdr:row>642</xdr:row>
      <xdr:rowOff>101798</xdr:rowOff>
    </xdr:from>
    <xdr:to>
      <xdr:col>6</xdr:col>
      <xdr:colOff>962422</xdr:colOff>
      <xdr:row>654</xdr:row>
      <xdr:rowOff>9921</xdr:rowOff>
    </xdr:to>
    <xdr:graphicFrame macro="">
      <xdr:nvGraphicFramePr>
        <xdr:cNvPr id="23" name="Chart 22">
          <a:extLst>
            <a:ext uri="{FF2B5EF4-FFF2-40B4-BE49-F238E27FC236}">
              <a16:creationId xmlns:a16="http://schemas.microsoft.com/office/drawing/2014/main" id="{431BE537-2F99-4BC5-BD61-B1347A4AD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237506</xdr:colOff>
      <xdr:row>667</xdr:row>
      <xdr:rowOff>94261</xdr:rowOff>
    </xdr:from>
    <xdr:to>
      <xdr:col>6</xdr:col>
      <xdr:colOff>578922</xdr:colOff>
      <xdr:row>682</xdr:row>
      <xdr:rowOff>54182</xdr:rowOff>
    </xdr:to>
    <xdr:graphicFrame macro="">
      <xdr:nvGraphicFramePr>
        <xdr:cNvPr id="27" name="Chart 26">
          <a:extLst>
            <a:ext uri="{FF2B5EF4-FFF2-40B4-BE49-F238E27FC236}">
              <a16:creationId xmlns:a16="http://schemas.microsoft.com/office/drawing/2014/main" id="{C1944069-C246-4677-BB5D-919A1DF7F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xdr:col>
      <xdr:colOff>281369</xdr:colOff>
      <xdr:row>686</xdr:row>
      <xdr:rowOff>111890</xdr:rowOff>
    </xdr:from>
    <xdr:to>
      <xdr:col>6</xdr:col>
      <xdr:colOff>605438</xdr:colOff>
      <xdr:row>701</xdr:row>
      <xdr:rowOff>63280</xdr:rowOff>
    </xdr:to>
    <xdr:graphicFrame macro="">
      <xdr:nvGraphicFramePr>
        <xdr:cNvPr id="28" name="Chart 27">
          <a:extLst>
            <a:ext uri="{FF2B5EF4-FFF2-40B4-BE49-F238E27FC236}">
              <a16:creationId xmlns:a16="http://schemas.microsoft.com/office/drawing/2014/main" id="{297CE2D9-CCB9-457F-82C5-8A3D1DEAD5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281369</xdr:colOff>
      <xdr:row>705</xdr:row>
      <xdr:rowOff>68097</xdr:rowOff>
    </xdr:from>
    <xdr:to>
      <xdr:col>6</xdr:col>
      <xdr:colOff>605438</xdr:colOff>
      <xdr:row>720</xdr:row>
      <xdr:rowOff>19487</xdr:rowOff>
    </xdr:to>
    <xdr:graphicFrame macro="">
      <xdr:nvGraphicFramePr>
        <xdr:cNvPr id="29" name="Chart 28">
          <a:extLst>
            <a:ext uri="{FF2B5EF4-FFF2-40B4-BE49-F238E27FC236}">
              <a16:creationId xmlns:a16="http://schemas.microsoft.com/office/drawing/2014/main" id="{5C9839A4-C18E-41E1-A67C-7221E3024D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120223</xdr:colOff>
      <xdr:row>54</xdr:row>
      <xdr:rowOff>13804</xdr:rowOff>
    </xdr:from>
    <xdr:to>
      <xdr:col>8</xdr:col>
      <xdr:colOff>110436</xdr:colOff>
      <xdr:row>66</xdr:row>
      <xdr:rowOff>82649</xdr:rowOff>
    </xdr:to>
    <xdr:graphicFrame macro="">
      <xdr:nvGraphicFramePr>
        <xdr:cNvPr id="2" name="Chart 1">
          <a:extLst>
            <a:ext uri="{FF2B5EF4-FFF2-40B4-BE49-F238E27FC236}">
              <a16:creationId xmlns:a16="http://schemas.microsoft.com/office/drawing/2014/main" id="{80C33DA2-9B4F-4F8D-8CE2-D4B4B39AD8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388938</xdr:colOff>
      <xdr:row>78</xdr:row>
      <xdr:rowOff>53975</xdr:rowOff>
    </xdr:from>
    <xdr:to>
      <xdr:col>6</xdr:col>
      <xdr:colOff>350086</xdr:colOff>
      <xdr:row>91</xdr:row>
      <xdr:rowOff>3373</xdr:rowOff>
    </xdr:to>
    <mc:AlternateContent xmlns:mc="http://schemas.openxmlformats.org/markup-compatibility/2006" xmlns:a14="http://schemas.microsoft.com/office/drawing/2010/main">
      <mc:Choice Requires="a14">
        <xdr:graphicFrame macro="">
          <xdr:nvGraphicFramePr>
            <xdr:cNvPr id="3" name="Bulan">
              <a:extLst>
                <a:ext uri="{FF2B5EF4-FFF2-40B4-BE49-F238E27FC236}">
                  <a16:creationId xmlns:a16="http://schemas.microsoft.com/office/drawing/2014/main" id="{3A2229E6-38F5-4DCA-9724-E4F8A7BFB8F7}"/>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mlns="">
        <xdr:sp macro="" textlink="">
          <xdr:nvSpPr>
            <xdr:cNvPr id="0" name=""/>
            <xdr:cNvSpPr>
              <a:spLocks noTextEdit="1"/>
            </xdr:cNvSpPr>
          </xdr:nvSpPr>
          <xdr:spPr>
            <a:xfrm>
              <a:off x="8889744" y="15765104"/>
              <a:ext cx="1827315" cy="260094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1014943</xdr:colOff>
      <xdr:row>78</xdr:row>
      <xdr:rowOff>53974</xdr:rowOff>
    </xdr:from>
    <xdr:to>
      <xdr:col>7</xdr:col>
      <xdr:colOff>632504</xdr:colOff>
      <xdr:row>91</xdr:row>
      <xdr:rowOff>3372</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457E92FC-FB81-4A77-810E-5C3232F060E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0918895" y="15765103"/>
              <a:ext cx="1824088" cy="260094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415925</xdr:colOff>
      <xdr:row>91</xdr:row>
      <xdr:rowOff>136525</xdr:rowOff>
    </xdr:from>
    <xdr:to>
      <xdr:col>6</xdr:col>
      <xdr:colOff>1880325</xdr:colOff>
      <xdr:row>98</xdr:row>
      <xdr:rowOff>136525</xdr:rowOff>
    </xdr:to>
    <mc:AlternateContent xmlns:mc="http://schemas.openxmlformats.org/markup-compatibility/2006" xmlns:tsle="http://schemas.microsoft.com/office/drawing/2012/timeslicer">
      <mc:Choice Requires="tsle">
        <xdr:graphicFrame macro="">
          <xdr:nvGraphicFramePr>
            <xdr:cNvPr id="5" name="Pajak Kadaluwarsa">
              <a:extLst>
                <a:ext uri="{FF2B5EF4-FFF2-40B4-BE49-F238E27FC236}">
                  <a16:creationId xmlns:a16="http://schemas.microsoft.com/office/drawing/2014/main" id="{E6C22C6A-DAFE-4A5F-8926-B1BF71482FBE}"/>
                </a:ext>
              </a:extLst>
            </xdr:cNvPr>
            <xdr:cNvGraphicFramePr/>
          </xdr:nvGraphicFramePr>
          <xdr:xfrm>
            <a:off x="0" y="0"/>
            <a:ext cx="0" cy="0"/>
          </xdr:xfrm>
          <a:graphic>
            <a:graphicData uri="http://schemas.microsoft.com/office/drawing/2012/timeslicer">
              <tsle:timeslicer name="Pajak Kadaluwarsa"/>
            </a:graphicData>
          </a:graphic>
        </xdr:graphicFrame>
      </mc:Choice>
      <mc:Fallback xmlns="">
        <xdr:sp macro="" textlink="">
          <xdr:nvSpPr>
            <xdr:cNvPr id="0" name=""/>
            <xdr:cNvSpPr>
              <a:spLocks noTextEdit="1"/>
            </xdr:cNvSpPr>
          </xdr:nvSpPr>
          <xdr:spPr>
            <a:xfrm>
              <a:off x="8916731" y="18510557"/>
              <a:ext cx="3329653" cy="1392903"/>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ermediate-Excel-Worksheet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3">
          <cell r="A3" t="str">
            <v>transaction id</v>
          </cell>
          <cell r="B3" t="str">
            <v>employee name</v>
          </cell>
        </row>
        <row r="4">
          <cell r="A4" t="str">
            <v>T001</v>
          </cell>
          <cell r="B4" t="str">
            <v>john doe</v>
          </cell>
        </row>
        <row r="5">
          <cell r="A5" t="str">
            <v>T002</v>
          </cell>
          <cell r="B5" t="str">
            <v>jane smith</v>
          </cell>
        </row>
        <row r="6">
          <cell r="A6" t="str">
            <v>T003</v>
          </cell>
          <cell r="B6" t="str">
            <v>emily white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3.05354375" createdVersion="7" refreshedVersion="7" minRefreshableVersion="3" recordCount="116" xr:uid="{52388087-8BD3-4C70-849C-98034C9AF80B}">
  <cacheSource type="worksheet">
    <worksheetSource name="Table1"/>
  </cacheSource>
  <cacheFields count="8">
    <cacheField name="Bulan" numFmtId="164">
      <sharedItems count="6">
        <s v="Jan"/>
        <s v="Feb"/>
        <s v="Mar"/>
        <s v="Apr"/>
        <s v="Des"/>
        <s v="Nov"/>
      </sharedItems>
    </cacheField>
    <cacheField name="Merek" numFmtId="164">
      <sharedItems count="6">
        <s v="Toyota"/>
        <s v="Honda"/>
        <s v="Suzuki"/>
        <s v="Mitsubishi"/>
        <s v="Nissan"/>
        <s v="Hyundai"/>
      </sharedItems>
    </cacheField>
    <cacheField name="Tipe" numFmtId="164">
      <sharedItems count="14">
        <s v="Avanza"/>
        <s v="Innova"/>
        <s v="Land Cruiser"/>
        <s v="Jazz"/>
        <s v="CRV"/>
        <s v="Brio"/>
        <s v="Ertiga"/>
        <s v="Swift"/>
        <s v="Xpander"/>
        <s v="Pajero"/>
        <s v="March"/>
        <s v="Juke"/>
        <s v="Creta"/>
        <s v="Palisade"/>
      </sharedItems>
    </cacheField>
    <cacheField name="Area" numFmtId="164">
      <sharedItems count="5">
        <s v="Jakarta"/>
        <s v="Bandung"/>
        <s v="Surabaya"/>
        <s v="Makassar"/>
        <s v="Manado"/>
      </sharedItems>
    </cacheField>
    <cacheField name="Stok Terjual" numFmtId="164">
      <sharedItems containsSemiMixedTypes="0" containsString="0" containsNumber="1" containsInteger="1" minValue="2" maxValue="12"/>
    </cacheField>
    <cacheField name="Pajak Kadaluwarsa" numFmtId="14">
      <sharedItems containsSemiMixedTypes="0" containsNonDate="0" containsDate="1" containsString="0" minDate="2024-01-31T00:00:00" maxDate="2024-04-01T00:00:00" count="3">
        <d v="2024-03-31T00:00:00"/>
        <d v="2024-02-28T00:00:00"/>
        <d v="2024-01-31T00:00:00"/>
      </sharedItems>
    </cacheField>
    <cacheField name="Penjualan" numFmtId="41">
      <sharedItems containsSemiMixedTypes="0" containsString="0" containsNumber="1" containsInteger="1" minValue="473083849" maxValue="1728000000"/>
    </cacheField>
    <cacheField name="Harga Modal" numFmtId="41">
      <sharedItems containsSemiMixedTypes="0" containsString="0" containsNumber="1" minValue="378467079.20000005" maxValue="1056000000"/>
    </cacheField>
  </cacheFields>
  <extLst>
    <ext xmlns:x14="http://schemas.microsoft.com/office/spreadsheetml/2009/9/main" uri="{725AE2AE-9491-48be-B2B4-4EB974FC3084}">
      <x14:pivotCacheDefinition pivotCacheId="2880828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3.053544560185" createdVersion="7" refreshedVersion="7" minRefreshableVersion="3" recordCount="116" xr:uid="{63F94D04-954B-4DBA-BFD8-8AE71027D3AE}">
  <cacheSource type="worksheet">
    <worksheetSource ref="A1:H117" sheet="Data RAW - Pivot"/>
  </cacheSource>
  <cacheFields count="11">
    <cacheField name="Bulan" numFmtId="164">
      <sharedItems count="6">
        <s v="Jan"/>
        <s v="Feb"/>
        <s v="Mar"/>
        <s v="Apr"/>
        <s v="Des"/>
        <s v="Nov"/>
      </sharedItems>
    </cacheField>
    <cacheField name="Merek" numFmtId="164">
      <sharedItems count="6">
        <s v="Toyota"/>
        <s v="Honda"/>
        <s v="Suzuki"/>
        <s v="Mitsubishi"/>
        <s v="Nissan"/>
        <s v="Hyundai"/>
      </sharedItems>
    </cacheField>
    <cacheField name="Tipe" numFmtId="164">
      <sharedItems count="14">
        <s v="Avanza"/>
        <s v="Innova"/>
        <s v="Land Cruiser"/>
        <s v="Jazz"/>
        <s v="CRV"/>
        <s v="Brio"/>
        <s v="Ertiga"/>
        <s v="Swift"/>
        <s v="Xpander"/>
        <s v="Pajero"/>
        <s v="March"/>
        <s v="Juke"/>
        <s v="Creta"/>
        <s v="Palisade"/>
      </sharedItems>
    </cacheField>
    <cacheField name="Area" numFmtId="164">
      <sharedItems count="5">
        <s v="Jakarta"/>
        <s v="Bandung"/>
        <s v="Surabaya"/>
        <s v="Makassar"/>
        <s v="Manado"/>
      </sharedItems>
    </cacheField>
    <cacheField name="Stok Terjual" numFmtId="164">
      <sharedItems containsSemiMixedTypes="0" containsString="0" containsNumber="1" containsInteger="1" minValue="2" maxValue="12"/>
    </cacheField>
    <cacheField name="Pajak Kadaluwarsa" numFmtId="14">
      <sharedItems containsSemiMixedTypes="0" containsNonDate="0" containsDate="1" containsString="0" minDate="2024-01-31T00:00:00" maxDate="2024-04-01T00:00:00"/>
    </cacheField>
    <cacheField name="Penjualan" numFmtId="41">
      <sharedItems containsSemiMixedTypes="0" containsString="0" containsNumber="1" containsInteger="1" minValue="473083849" maxValue="1728000000"/>
    </cacheField>
    <cacheField name="Harga Modal" numFmtId="41">
      <sharedItems containsSemiMixedTypes="0" containsString="0" containsNumber="1" minValue="378467079.20000005" maxValue="1056000000"/>
    </cacheField>
    <cacheField name="Penjualan Bersih" numFmtId="0" formula="Penjualan-'Harga Modal'" databaseField="0"/>
    <cacheField name="PPN" numFmtId="0" formula="Penjualan*11%" databaseField="0"/>
    <cacheField name="Laba Bersih" numFmtId="0" formula=" 20% * (Penjualan-'Harga Modal')"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x v="0"/>
    <x v="0"/>
    <n v="12"/>
    <x v="0"/>
    <n v="1488000000"/>
    <n v="996000000"/>
  </r>
  <r>
    <x v="1"/>
    <x v="0"/>
    <x v="1"/>
    <x v="0"/>
    <n v="12"/>
    <x v="1"/>
    <n v="1680000000"/>
    <n v="1020000000"/>
  </r>
  <r>
    <x v="2"/>
    <x v="0"/>
    <x v="2"/>
    <x v="0"/>
    <n v="3"/>
    <x v="2"/>
    <n v="1254000000"/>
    <n v="957000000"/>
  </r>
  <r>
    <x v="3"/>
    <x v="1"/>
    <x v="3"/>
    <x v="0"/>
    <n v="6"/>
    <x v="0"/>
    <n v="840000000"/>
    <n v="486000000"/>
  </r>
  <r>
    <x v="3"/>
    <x v="1"/>
    <x v="4"/>
    <x v="0"/>
    <n v="7"/>
    <x v="1"/>
    <n v="868000000"/>
    <n v="602000000"/>
  </r>
  <r>
    <x v="0"/>
    <x v="1"/>
    <x v="5"/>
    <x v="0"/>
    <n v="10"/>
    <x v="2"/>
    <n v="1500000000"/>
    <n v="810000000"/>
  </r>
  <r>
    <x v="1"/>
    <x v="2"/>
    <x v="6"/>
    <x v="0"/>
    <n v="10"/>
    <x v="0"/>
    <n v="1490000000"/>
    <n v="850000000"/>
  </r>
  <r>
    <x v="2"/>
    <x v="2"/>
    <x v="7"/>
    <x v="0"/>
    <n v="5"/>
    <x v="1"/>
    <n v="585000000"/>
    <n v="450000000"/>
  </r>
  <r>
    <x v="0"/>
    <x v="3"/>
    <x v="8"/>
    <x v="0"/>
    <n v="11"/>
    <x v="2"/>
    <n v="1287000000"/>
    <n v="968000000"/>
  </r>
  <r>
    <x v="1"/>
    <x v="3"/>
    <x v="9"/>
    <x v="0"/>
    <n v="5"/>
    <x v="0"/>
    <n v="715000000"/>
    <n v="410000000"/>
  </r>
  <r>
    <x v="2"/>
    <x v="4"/>
    <x v="10"/>
    <x v="0"/>
    <n v="6"/>
    <x v="1"/>
    <n v="708000000"/>
    <n v="540000000"/>
  </r>
  <r>
    <x v="3"/>
    <x v="4"/>
    <x v="11"/>
    <x v="0"/>
    <n v="6"/>
    <x v="2"/>
    <n v="798000000"/>
    <n v="510000000"/>
  </r>
  <r>
    <x v="3"/>
    <x v="0"/>
    <x v="0"/>
    <x v="0"/>
    <n v="11"/>
    <x v="0"/>
    <n v="1342000000"/>
    <n v="979000000"/>
  </r>
  <r>
    <x v="0"/>
    <x v="0"/>
    <x v="1"/>
    <x v="0"/>
    <n v="12"/>
    <x v="1"/>
    <n v="1464000000"/>
    <n v="1008000000"/>
  </r>
  <r>
    <x v="1"/>
    <x v="0"/>
    <x v="2"/>
    <x v="0"/>
    <n v="2"/>
    <x v="2"/>
    <n v="1595000000"/>
    <n v="957000000"/>
  </r>
  <r>
    <x v="2"/>
    <x v="1"/>
    <x v="3"/>
    <x v="0"/>
    <n v="6"/>
    <x v="0"/>
    <n v="864000000"/>
    <n v="534000000"/>
  </r>
  <r>
    <x v="0"/>
    <x v="1"/>
    <x v="4"/>
    <x v="0"/>
    <n v="10"/>
    <x v="1"/>
    <n v="1270000000"/>
    <n v="850000000"/>
  </r>
  <r>
    <x v="1"/>
    <x v="1"/>
    <x v="5"/>
    <x v="0"/>
    <n v="8"/>
    <x v="2"/>
    <n v="832000000"/>
    <n v="664000000"/>
  </r>
  <r>
    <x v="2"/>
    <x v="2"/>
    <x v="6"/>
    <x v="0"/>
    <n v="7"/>
    <x v="0"/>
    <n v="721000000"/>
    <n v="623000000"/>
  </r>
  <r>
    <x v="3"/>
    <x v="2"/>
    <x v="7"/>
    <x v="0"/>
    <n v="9"/>
    <x v="1"/>
    <n v="927000000"/>
    <n v="810000000"/>
  </r>
  <r>
    <x v="3"/>
    <x v="3"/>
    <x v="8"/>
    <x v="0"/>
    <n v="12"/>
    <x v="2"/>
    <n v="1608000000"/>
    <n v="996000000"/>
  </r>
  <r>
    <x v="0"/>
    <x v="3"/>
    <x v="9"/>
    <x v="0"/>
    <n v="10"/>
    <x v="0"/>
    <n v="1420000000"/>
    <n v="900000000"/>
  </r>
  <r>
    <x v="1"/>
    <x v="4"/>
    <x v="10"/>
    <x v="0"/>
    <n v="9"/>
    <x v="1"/>
    <n v="1314000000"/>
    <n v="810000000"/>
  </r>
  <r>
    <x v="2"/>
    <x v="4"/>
    <x v="11"/>
    <x v="0"/>
    <n v="11"/>
    <x v="2"/>
    <n v="1573000000"/>
    <n v="924000000"/>
  </r>
  <r>
    <x v="0"/>
    <x v="0"/>
    <x v="0"/>
    <x v="0"/>
    <n v="6"/>
    <x v="0"/>
    <n v="654000000"/>
    <n v="504000000"/>
  </r>
  <r>
    <x v="1"/>
    <x v="0"/>
    <x v="1"/>
    <x v="0"/>
    <n v="6"/>
    <x v="1"/>
    <n v="678000000"/>
    <n v="516000000"/>
  </r>
  <r>
    <x v="2"/>
    <x v="0"/>
    <x v="2"/>
    <x v="0"/>
    <n v="4"/>
    <x v="2"/>
    <n v="864000000"/>
    <n v="522000000"/>
  </r>
  <r>
    <x v="3"/>
    <x v="1"/>
    <x v="3"/>
    <x v="0"/>
    <n v="5"/>
    <x v="0"/>
    <n v="655000000"/>
    <n v="450000000"/>
  </r>
  <r>
    <x v="3"/>
    <x v="1"/>
    <x v="4"/>
    <x v="0"/>
    <n v="7"/>
    <x v="1"/>
    <n v="777000000"/>
    <n v="609000000"/>
  </r>
  <r>
    <x v="0"/>
    <x v="1"/>
    <x v="5"/>
    <x v="0"/>
    <n v="6"/>
    <x v="2"/>
    <n v="798000000"/>
    <n v="504000000"/>
  </r>
  <r>
    <x v="1"/>
    <x v="2"/>
    <x v="6"/>
    <x v="0"/>
    <n v="7"/>
    <x v="0"/>
    <n v="917000000"/>
    <n v="630000000"/>
  </r>
  <r>
    <x v="2"/>
    <x v="2"/>
    <x v="7"/>
    <x v="0"/>
    <n v="6"/>
    <x v="1"/>
    <n v="834000000"/>
    <n v="534000000"/>
  </r>
  <r>
    <x v="0"/>
    <x v="3"/>
    <x v="8"/>
    <x v="0"/>
    <n v="6"/>
    <x v="2"/>
    <n v="732000000"/>
    <n v="510000000"/>
  </r>
  <r>
    <x v="1"/>
    <x v="3"/>
    <x v="9"/>
    <x v="0"/>
    <n v="5"/>
    <x v="0"/>
    <n v="730000000"/>
    <n v="435000000"/>
  </r>
  <r>
    <x v="2"/>
    <x v="4"/>
    <x v="10"/>
    <x v="0"/>
    <n v="7"/>
    <x v="1"/>
    <n v="966000000"/>
    <n v="560000000"/>
  </r>
  <r>
    <x v="3"/>
    <x v="4"/>
    <x v="11"/>
    <x v="0"/>
    <n v="6"/>
    <x v="2"/>
    <n v="786000000"/>
    <n v="528000000"/>
  </r>
  <r>
    <x v="3"/>
    <x v="0"/>
    <x v="0"/>
    <x v="1"/>
    <n v="6"/>
    <x v="0"/>
    <n v="834000000"/>
    <n v="510000000"/>
  </r>
  <r>
    <x v="0"/>
    <x v="0"/>
    <x v="1"/>
    <x v="1"/>
    <n v="6"/>
    <x v="1"/>
    <n v="672000000"/>
    <n v="492000000"/>
  </r>
  <r>
    <x v="1"/>
    <x v="0"/>
    <x v="2"/>
    <x v="1"/>
    <n v="8"/>
    <x v="2"/>
    <n v="960000000"/>
    <n v="664000000"/>
  </r>
  <r>
    <x v="2"/>
    <x v="1"/>
    <x v="3"/>
    <x v="1"/>
    <n v="9"/>
    <x v="0"/>
    <n v="1080000000"/>
    <n v="738000000"/>
  </r>
  <r>
    <x v="0"/>
    <x v="1"/>
    <x v="4"/>
    <x v="1"/>
    <n v="11"/>
    <x v="1"/>
    <n v="1606000000"/>
    <n v="924000000"/>
  </r>
  <r>
    <x v="1"/>
    <x v="1"/>
    <x v="5"/>
    <x v="1"/>
    <n v="12"/>
    <x v="2"/>
    <n v="1692000000"/>
    <n v="984000000"/>
  </r>
  <r>
    <x v="2"/>
    <x v="2"/>
    <x v="6"/>
    <x v="1"/>
    <n v="6"/>
    <x v="0"/>
    <n v="780000000"/>
    <n v="498000000"/>
  </r>
  <r>
    <x v="3"/>
    <x v="2"/>
    <x v="7"/>
    <x v="1"/>
    <n v="11"/>
    <x v="1"/>
    <n v="1507000000"/>
    <n v="902000000"/>
  </r>
  <r>
    <x v="3"/>
    <x v="3"/>
    <x v="8"/>
    <x v="1"/>
    <n v="7"/>
    <x v="2"/>
    <n v="854000000"/>
    <n v="567000000"/>
  </r>
  <r>
    <x v="0"/>
    <x v="3"/>
    <x v="9"/>
    <x v="1"/>
    <n v="10"/>
    <x v="0"/>
    <n v="1480000000"/>
    <n v="860000000"/>
  </r>
  <r>
    <x v="1"/>
    <x v="4"/>
    <x v="10"/>
    <x v="1"/>
    <n v="9"/>
    <x v="1"/>
    <n v="1233000000"/>
    <n v="756000000"/>
  </r>
  <r>
    <x v="2"/>
    <x v="4"/>
    <x v="11"/>
    <x v="1"/>
    <n v="12"/>
    <x v="2"/>
    <n v="1404000000"/>
    <n v="1020000000"/>
  </r>
  <r>
    <x v="0"/>
    <x v="0"/>
    <x v="0"/>
    <x v="1"/>
    <n v="5"/>
    <x v="0"/>
    <n v="730000000"/>
    <n v="450000000"/>
  </r>
  <r>
    <x v="1"/>
    <x v="0"/>
    <x v="1"/>
    <x v="1"/>
    <n v="7"/>
    <x v="1"/>
    <n v="980000000"/>
    <n v="630000000"/>
  </r>
  <r>
    <x v="2"/>
    <x v="0"/>
    <x v="2"/>
    <x v="1"/>
    <n v="11"/>
    <x v="2"/>
    <n v="1375000000"/>
    <n v="957000000"/>
  </r>
  <r>
    <x v="3"/>
    <x v="1"/>
    <x v="3"/>
    <x v="1"/>
    <n v="10"/>
    <x v="0"/>
    <n v="1410000000"/>
    <n v="820000000"/>
  </r>
  <r>
    <x v="3"/>
    <x v="1"/>
    <x v="4"/>
    <x v="1"/>
    <n v="10"/>
    <x v="1"/>
    <n v="1410000000"/>
    <n v="830000000"/>
  </r>
  <r>
    <x v="0"/>
    <x v="1"/>
    <x v="5"/>
    <x v="1"/>
    <n v="6"/>
    <x v="2"/>
    <n v="858000000"/>
    <n v="528000000"/>
  </r>
  <r>
    <x v="1"/>
    <x v="2"/>
    <x v="6"/>
    <x v="1"/>
    <n v="10"/>
    <x v="0"/>
    <n v="1220000000"/>
    <n v="810000000"/>
  </r>
  <r>
    <x v="2"/>
    <x v="2"/>
    <x v="7"/>
    <x v="1"/>
    <n v="6"/>
    <x v="1"/>
    <n v="720000000"/>
    <n v="504000000"/>
  </r>
  <r>
    <x v="0"/>
    <x v="3"/>
    <x v="8"/>
    <x v="1"/>
    <n v="6"/>
    <x v="2"/>
    <n v="714000000"/>
    <n v="522000000"/>
  </r>
  <r>
    <x v="1"/>
    <x v="3"/>
    <x v="9"/>
    <x v="1"/>
    <n v="12"/>
    <x v="0"/>
    <n v="1584000000"/>
    <n v="1020000000"/>
  </r>
  <r>
    <x v="2"/>
    <x v="4"/>
    <x v="10"/>
    <x v="1"/>
    <n v="10"/>
    <x v="1"/>
    <n v="1440000000"/>
    <n v="890000000"/>
  </r>
  <r>
    <x v="3"/>
    <x v="4"/>
    <x v="11"/>
    <x v="1"/>
    <n v="7"/>
    <x v="2"/>
    <n v="966000000"/>
    <n v="588000000"/>
  </r>
  <r>
    <x v="3"/>
    <x v="0"/>
    <x v="0"/>
    <x v="1"/>
    <n v="8"/>
    <x v="0"/>
    <n v="920000000"/>
    <n v="672000000"/>
  </r>
  <r>
    <x v="0"/>
    <x v="0"/>
    <x v="1"/>
    <x v="1"/>
    <n v="12"/>
    <x v="1"/>
    <n v="1284000000"/>
    <n v="1056000000"/>
  </r>
  <r>
    <x v="1"/>
    <x v="0"/>
    <x v="2"/>
    <x v="1"/>
    <n v="9"/>
    <x v="2"/>
    <n v="1233000000"/>
    <n v="774000000"/>
  </r>
  <r>
    <x v="2"/>
    <x v="1"/>
    <x v="3"/>
    <x v="1"/>
    <n v="12"/>
    <x v="0"/>
    <n v="1728000000"/>
    <n v="972000000"/>
  </r>
  <r>
    <x v="0"/>
    <x v="1"/>
    <x v="4"/>
    <x v="1"/>
    <n v="6"/>
    <x v="1"/>
    <n v="744000000"/>
    <n v="498000000"/>
  </r>
  <r>
    <x v="1"/>
    <x v="1"/>
    <x v="5"/>
    <x v="1"/>
    <n v="5"/>
    <x v="2"/>
    <n v="720000000"/>
    <n v="440000000"/>
  </r>
  <r>
    <x v="2"/>
    <x v="2"/>
    <x v="6"/>
    <x v="1"/>
    <n v="11"/>
    <x v="0"/>
    <n v="1529000000"/>
    <n v="913000000"/>
  </r>
  <r>
    <x v="3"/>
    <x v="2"/>
    <x v="7"/>
    <x v="1"/>
    <n v="11"/>
    <x v="1"/>
    <n v="1441000000"/>
    <n v="946000000"/>
  </r>
  <r>
    <x v="3"/>
    <x v="3"/>
    <x v="8"/>
    <x v="1"/>
    <n v="6"/>
    <x v="2"/>
    <n v="828000000"/>
    <n v="522000000"/>
  </r>
  <r>
    <x v="0"/>
    <x v="3"/>
    <x v="9"/>
    <x v="1"/>
    <n v="11"/>
    <x v="0"/>
    <n v="1375000000"/>
    <n v="880000000"/>
  </r>
  <r>
    <x v="1"/>
    <x v="4"/>
    <x v="10"/>
    <x v="1"/>
    <n v="5"/>
    <x v="1"/>
    <n v="510000000"/>
    <n v="430000000"/>
  </r>
  <r>
    <x v="2"/>
    <x v="4"/>
    <x v="11"/>
    <x v="1"/>
    <n v="12"/>
    <x v="2"/>
    <n v="1728000000"/>
    <n v="996000000"/>
  </r>
  <r>
    <x v="0"/>
    <x v="0"/>
    <x v="0"/>
    <x v="2"/>
    <n v="9"/>
    <x v="0"/>
    <n v="1323000000"/>
    <n v="747000000"/>
  </r>
  <r>
    <x v="1"/>
    <x v="0"/>
    <x v="1"/>
    <x v="2"/>
    <n v="12"/>
    <x v="1"/>
    <n v="1248000000"/>
    <n v="1056000000"/>
  </r>
  <r>
    <x v="2"/>
    <x v="0"/>
    <x v="2"/>
    <x v="2"/>
    <n v="5"/>
    <x v="2"/>
    <n v="685000000"/>
    <n v="440000000"/>
  </r>
  <r>
    <x v="3"/>
    <x v="1"/>
    <x v="3"/>
    <x v="2"/>
    <n v="5"/>
    <x v="0"/>
    <n v="540000000"/>
    <n v="430000000"/>
  </r>
  <r>
    <x v="3"/>
    <x v="1"/>
    <x v="4"/>
    <x v="2"/>
    <n v="5"/>
    <x v="1"/>
    <n v="655000000"/>
    <n v="415000000"/>
  </r>
  <r>
    <x v="0"/>
    <x v="1"/>
    <x v="5"/>
    <x v="2"/>
    <n v="8"/>
    <x v="2"/>
    <n v="968000000"/>
    <n v="712000000"/>
  </r>
  <r>
    <x v="1"/>
    <x v="2"/>
    <x v="6"/>
    <x v="2"/>
    <n v="7"/>
    <x v="0"/>
    <n v="882000000"/>
    <n v="581000000"/>
  </r>
  <r>
    <x v="2"/>
    <x v="2"/>
    <x v="7"/>
    <x v="2"/>
    <n v="5"/>
    <x v="1"/>
    <n v="745000000"/>
    <n v="425000000"/>
  </r>
  <r>
    <x v="0"/>
    <x v="3"/>
    <x v="8"/>
    <x v="2"/>
    <n v="10"/>
    <x v="2"/>
    <n v="1100000000"/>
    <n v="820000000"/>
  </r>
  <r>
    <x v="1"/>
    <x v="3"/>
    <x v="9"/>
    <x v="2"/>
    <n v="6"/>
    <x v="0"/>
    <n v="696000000"/>
    <n v="528000000"/>
  </r>
  <r>
    <x v="2"/>
    <x v="4"/>
    <x v="10"/>
    <x v="2"/>
    <n v="7"/>
    <x v="1"/>
    <n v="742000000"/>
    <n v="602000000"/>
  </r>
  <r>
    <x v="3"/>
    <x v="4"/>
    <x v="11"/>
    <x v="2"/>
    <n v="6"/>
    <x v="2"/>
    <n v="606000000"/>
    <n v="504000000"/>
  </r>
  <r>
    <x v="3"/>
    <x v="0"/>
    <x v="0"/>
    <x v="2"/>
    <n v="10"/>
    <x v="0"/>
    <n v="1040000000"/>
    <n v="830000000"/>
  </r>
  <r>
    <x v="0"/>
    <x v="0"/>
    <x v="1"/>
    <x v="2"/>
    <n v="11"/>
    <x v="1"/>
    <n v="1386000000"/>
    <n v="935000000"/>
  </r>
  <r>
    <x v="1"/>
    <x v="0"/>
    <x v="2"/>
    <x v="2"/>
    <n v="11"/>
    <x v="2"/>
    <n v="1485000000"/>
    <n v="968000000"/>
  </r>
  <r>
    <x v="2"/>
    <x v="1"/>
    <x v="3"/>
    <x v="2"/>
    <n v="6"/>
    <x v="0"/>
    <n v="750000000"/>
    <n v="510000000"/>
  </r>
  <r>
    <x v="0"/>
    <x v="1"/>
    <x v="4"/>
    <x v="2"/>
    <n v="11"/>
    <x v="1"/>
    <n v="1562000000"/>
    <n v="957000000"/>
  </r>
  <r>
    <x v="1"/>
    <x v="1"/>
    <x v="5"/>
    <x v="2"/>
    <n v="11"/>
    <x v="2"/>
    <n v="1386000000"/>
    <n v="902000000"/>
  </r>
  <r>
    <x v="2"/>
    <x v="2"/>
    <x v="6"/>
    <x v="2"/>
    <n v="11"/>
    <x v="0"/>
    <n v="1408000000"/>
    <n v="957000000"/>
  </r>
  <r>
    <x v="3"/>
    <x v="2"/>
    <x v="7"/>
    <x v="2"/>
    <n v="11"/>
    <x v="1"/>
    <n v="1441000000"/>
    <n v="880000000"/>
  </r>
  <r>
    <x v="3"/>
    <x v="3"/>
    <x v="8"/>
    <x v="2"/>
    <n v="9"/>
    <x v="2"/>
    <n v="1161000000"/>
    <n v="783000000"/>
  </r>
  <r>
    <x v="0"/>
    <x v="3"/>
    <x v="9"/>
    <x v="2"/>
    <n v="10"/>
    <x v="0"/>
    <n v="1460000000"/>
    <n v="880000000"/>
  </r>
  <r>
    <x v="1"/>
    <x v="4"/>
    <x v="10"/>
    <x v="2"/>
    <n v="10"/>
    <x v="1"/>
    <n v="1330000000"/>
    <n v="810000000"/>
  </r>
  <r>
    <x v="2"/>
    <x v="4"/>
    <x v="11"/>
    <x v="2"/>
    <n v="9"/>
    <x v="2"/>
    <n v="918000000"/>
    <n v="783000000"/>
  </r>
  <r>
    <x v="0"/>
    <x v="0"/>
    <x v="0"/>
    <x v="2"/>
    <n v="5"/>
    <x v="0"/>
    <n v="730000000"/>
    <n v="435000000"/>
  </r>
  <r>
    <x v="1"/>
    <x v="0"/>
    <x v="1"/>
    <x v="2"/>
    <n v="11"/>
    <x v="1"/>
    <n v="1606000000"/>
    <n v="968000000"/>
  </r>
  <r>
    <x v="2"/>
    <x v="0"/>
    <x v="2"/>
    <x v="2"/>
    <n v="10"/>
    <x v="2"/>
    <n v="1260000000"/>
    <n v="870000000"/>
  </r>
  <r>
    <x v="3"/>
    <x v="1"/>
    <x v="3"/>
    <x v="2"/>
    <n v="8"/>
    <x v="0"/>
    <n v="1048000000"/>
    <n v="712000000"/>
  </r>
  <r>
    <x v="3"/>
    <x v="1"/>
    <x v="4"/>
    <x v="2"/>
    <n v="6"/>
    <x v="1"/>
    <n v="714000000"/>
    <n v="498000000"/>
  </r>
  <r>
    <x v="0"/>
    <x v="1"/>
    <x v="5"/>
    <x v="2"/>
    <n v="6"/>
    <x v="2"/>
    <n v="774000000"/>
    <n v="522000000"/>
  </r>
  <r>
    <x v="1"/>
    <x v="2"/>
    <x v="6"/>
    <x v="2"/>
    <n v="8"/>
    <x v="0"/>
    <n v="1112000000"/>
    <n v="712000000"/>
  </r>
  <r>
    <x v="2"/>
    <x v="2"/>
    <x v="7"/>
    <x v="2"/>
    <n v="12"/>
    <x v="1"/>
    <n v="1644000000"/>
    <n v="1032000000"/>
  </r>
  <r>
    <x v="0"/>
    <x v="3"/>
    <x v="8"/>
    <x v="2"/>
    <n v="5"/>
    <x v="2"/>
    <n v="540000000"/>
    <n v="450000000"/>
  </r>
  <r>
    <x v="1"/>
    <x v="3"/>
    <x v="9"/>
    <x v="2"/>
    <n v="9"/>
    <x v="0"/>
    <n v="1035000000"/>
    <n v="810000000"/>
  </r>
  <r>
    <x v="2"/>
    <x v="4"/>
    <x v="10"/>
    <x v="2"/>
    <n v="6"/>
    <x v="1"/>
    <n v="744000000"/>
    <n v="486000000"/>
  </r>
  <r>
    <x v="3"/>
    <x v="4"/>
    <x v="11"/>
    <x v="2"/>
    <n v="12"/>
    <x v="2"/>
    <n v="1320000000"/>
    <n v="1032000000"/>
  </r>
  <r>
    <x v="4"/>
    <x v="5"/>
    <x v="12"/>
    <x v="3"/>
    <n v="12"/>
    <x v="0"/>
    <n v="838176860"/>
    <n v="670541488"/>
  </r>
  <r>
    <x v="4"/>
    <x v="5"/>
    <x v="12"/>
    <x v="4"/>
    <n v="12"/>
    <x v="1"/>
    <n v="567038560"/>
    <n v="453630848"/>
  </r>
  <r>
    <x v="4"/>
    <x v="5"/>
    <x v="13"/>
    <x v="3"/>
    <n v="3"/>
    <x v="2"/>
    <n v="810098132"/>
    <n v="648078505.60000002"/>
  </r>
  <r>
    <x v="4"/>
    <x v="5"/>
    <x v="12"/>
    <x v="4"/>
    <n v="6"/>
    <x v="0"/>
    <n v="574603444"/>
    <n v="459682755.20000005"/>
  </r>
  <r>
    <x v="5"/>
    <x v="5"/>
    <x v="13"/>
    <x v="3"/>
    <n v="7"/>
    <x v="1"/>
    <n v="830590049"/>
    <n v="664472039.20000005"/>
  </r>
  <r>
    <x v="5"/>
    <x v="5"/>
    <x v="12"/>
    <x v="4"/>
    <n v="10"/>
    <x v="2"/>
    <n v="899244384"/>
    <n v="719395507.20000005"/>
  </r>
  <r>
    <x v="4"/>
    <x v="5"/>
    <x v="12"/>
    <x v="3"/>
    <n v="10"/>
    <x v="0"/>
    <n v="638936380"/>
    <n v="511149104"/>
  </r>
  <r>
    <x v="4"/>
    <x v="5"/>
    <x v="12"/>
    <x v="4"/>
    <n v="5"/>
    <x v="1"/>
    <n v="473083849"/>
    <n v="378467079.2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x v="0"/>
    <x v="0"/>
    <n v="12"/>
    <d v="2024-03-31T00:00:00"/>
    <n v="1488000000"/>
    <n v="996000000"/>
  </r>
  <r>
    <x v="1"/>
    <x v="0"/>
    <x v="1"/>
    <x v="0"/>
    <n v="12"/>
    <d v="2024-02-28T00:00:00"/>
    <n v="1680000000"/>
    <n v="1020000000"/>
  </r>
  <r>
    <x v="2"/>
    <x v="0"/>
    <x v="2"/>
    <x v="0"/>
    <n v="3"/>
    <d v="2024-01-31T00:00:00"/>
    <n v="1254000000"/>
    <n v="957000000"/>
  </r>
  <r>
    <x v="3"/>
    <x v="1"/>
    <x v="3"/>
    <x v="0"/>
    <n v="6"/>
    <d v="2024-03-31T00:00:00"/>
    <n v="840000000"/>
    <n v="486000000"/>
  </r>
  <r>
    <x v="3"/>
    <x v="1"/>
    <x v="4"/>
    <x v="0"/>
    <n v="7"/>
    <d v="2024-02-28T00:00:00"/>
    <n v="868000000"/>
    <n v="602000000"/>
  </r>
  <r>
    <x v="0"/>
    <x v="1"/>
    <x v="5"/>
    <x v="0"/>
    <n v="10"/>
    <d v="2024-01-31T00:00:00"/>
    <n v="1500000000"/>
    <n v="810000000"/>
  </r>
  <r>
    <x v="1"/>
    <x v="2"/>
    <x v="6"/>
    <x v="0"/>
    <n v="10"/>
    <d v="2024-03-31T00:00:00"/>
    <n v="1490000000"/>
    <n v="850000000"/>
  </r>
  <r>
    <x v="2"/>
    <x v="2"/>
    <x v="7"/>
    <x v="0"/>
    <n v="5"/>
    <d v="2024-02-28T00:00:00"/>
    <n v="585000000"/>
    <n v="450000000"/>
  </r>
  <r>
    <x v="0"/>
    <x v="3"/>
    <x v="8"/>
    <x v="0"/>
    <n v="11"/>
    <d v="2024-01-31T00:00:00"/>
    <n v="1287000000"/>
    <n v="968000000"/>
  </r>
  <r>
    <x v="1"/>
    <x v="3"/>
    <x v="9"/>
    <x v="0"/>
    <n v="5"/>
    <d v="2024-03-31T00:00:00"/>
    <n v="715000000"/>
    <n v="410000000"/>
  </r>
  <r>
    <x v="2"/>
    <x v="4"/>
    <x v="10"/>
    <x v="0"/>
    <n v="6"/>
    <d v="2024-02-28T00:00:00"/>
    <n v="708000000"/>
    <n v="540000000"/>
  </r>
  <r>
    <x v="3"/>
    <x v="4"/>
    <x v="11"/>
    <x v="0"/>
    <n v="6"/>
    <d v="2024-01-31T00:00:00"/>
    <n v="798000000"/>
    <n v="510000000"/>
  </r>
  <r>
    <x v="3"/>
    <x v="0"/>
    <x v="0"/>
    <x v="0"/>
    <n v="11"/>
    <d v="2024-03-31T00:00:00"/>
    <n v="1342000000"/>
    <n v="979000000"/>
  </r>
  <r>
    <x v="0"/>
    <x v="0"/>
    <x v="1"/>
    <x v="0"/>
    <n v="12"/>
    <d v="2024-02-28T00:00:00"/>
    <n v="1464000000"/>
    <n v="1008000000"/>
  </r>
  <r>
    <x v="1"/>
    <x v="0"/>
    <x v="2"/>
    <x v="0"/>
    <n v="2"/>
    <d v="2024-01-31T00:00:00"/>
    <n v="1595000000"/>
    <n v="957000000"/>
  </r>
  <r>
    <x v="2"/>
    <x v="1"/>
    <x v="3"/>
    <x v="0"/>
    <n v="6"/>
    <d v="2024-03-31T00:00:00"/>
    <n v="864000000"/>
    <n v="534000000"/>
  </r>
  <r>
    <x v="0"/>
    <x v="1"/>
    <x v="4"/>
    <x v="0"/>
    <n v="10"/>
    <d v="2024-02-28T00:00:00"/>
    <n v="1270000000"/>
    <n v="850000000"/>
  </r>
  <r>
    <x v="1"/>
    <x v="1"/>
    <x v="5"/>
    <x v="0"/>
    <n v="8"/>
    <d v="2024-01-31T00:00:00"/>
    <n v="832000000"/>
    <n v="664000000"/>
  </r>
  <r>
    <x v="2"/>
    <x v="2"/>
    <x v="6"/>
    <x v="0"/>
    <n v="7"/>
    <d v="2024-03-31T00:00:00"/>
    <n v="721000000"/>
    <n v="623000000"/>
  </r>
  <r>
    <x v="3"/>
    <x v="2"/>
    <x v="7"/>
    <x v="0"/>
    <n v="9"/>
    <d v="2024-02-28T00:00:00"/>
    <n v="927000000"/>
    <n v="810000000"/>
  </r>
  <r>
    <x v="3"/>
    <x v="3"/>
    <x v="8"/>
    <x v="0"/>
    <n v="12"/>
    <d v="2024-01-31T00:00:00"/>
    <n v="1608000000"/>
    <n v="996000000"/>
  </r>
  <r>
    <x v="0"/>
    <x v="3"/>
    <x v="9"/>
    <x v="0"/>
    <n v="10"/>
    <d v="2024-03-31T00:00:00"/>
    <n v="1420000000"/>
    <n v="900000000"/>
  </r>
  <r>
    <x v="1"/>
    <x v="4"/>
    <x v="10"/>
    <x v="0"/>
    <n v="9"/>
    <d v="2024-02-28T00:00:00"/>
    <n v="1314000000"/>
    <n v="810000000"/>
  </r>
  <r>
    <x v="2"/>
    <x v="4"/>
    <x v="11"/>
    <x v="0"/>
    <n v="11"/>
    <d v="2024-01-31T00:00:00"/>
    <n v="1573000000"/>
    <n v="924000000"/>
  </r>
  <r>
    <x v="0"/>
    <x v="0"/>
    <x v="0"/>
    <x v="0"/>
    <n v="6"/>
    <d v="2024-03-31T00:00:00"/>
    <n v="654000000"/>
    <n v="504000000"/>
  </r>
  <r>
    <x v="1"/>
    <x v="0"/>
    <x v="1"/>
    <x v="0"/>
    <n v="6"/>
    <d v="2024-02-28T00:00:00"/>
    <n v="678000000"/>
    <n v="516000000"/>
  </r>
  <r>
    <x v="2"/>
    <x v="0"/>
    <x v="2"/>
    <x v="0"/>
    <n v="4"/>
    <d v="2024-01-31T00:00:00"/>
    <n v="864000000"/>
    <n v="522000000"/>
  </r>
  <r>
    <x v="3"/>
    <x v="1"/>
    <x v="3"/>
    <x v="0"/>
    <n v="5"/>
    <d v="2024-03-31T00:00:00"/>
    <n v="655000000"/>
    <n v="450000000"/>
  </r>
  <r>
    <x v="3"/>
    <x v="1"/>
    <x v="4"/>
    <x v="0"/>
    <n v="7"/>
    <d v="2024-02-28T00:00:00"/>
    <n v="777000000"/>
    <n v="609000000"/>
  </r>
  <r>
    <x v="0"/>
    <x v="1"/>
    <x v="5"/>
    <x v="0"/>
    <n v="6"/>
    <d v="2024-01-31T00:00:00"/>
    <n v="798000000"/>
    <n v="504000000"/>
  </r>
  <r>
    <x v="1"/>
    <x v="2"/>
    <x v="6"/>
    <x v="0"/>
    <n v="7"/>
    <d v="2024-03-31T00:00:00"/>
    <n v="917000000"/>
    <n v="630000000"/>
  </r>
  <r>
    <x v="2"/>
    <x v="2"/>
    <x v="7"/>
    <x v="0"/>
    <n v="6"/>
    <d v="2024-02-28T00:00:00"/>
    <n v="834000000"/>
    <n v="534000000"/>
  </r>
  <r>
    <x v="0"/>
    <x v="3"/>
    <x v="8"/>
    <x v="0"/>
    <n v="6"/>
    <d v="2024-01-31T00:00:00"/>
    <n v="732000000"/>
    <n v="510000000"/>
  </r>
  <r>
    <x v="1"/>
    <x v="3"/>
    <x v="9"/>
    <x v="0"/>
    <n v="5"/>
    <d v="2024-03-31T00:00:00"/>
    <n v="730000000"/>
    <n v="435000000"/>
  </r>
  <r>
    <x v="2"/>
    <x v="4"/>
    <x v="10"/>
    <x v="0"/>
    <n v="7"/>
    <d v="2024-02-28T00:00:00"/>
    <n v="966000000"/>
    <n v="560000000"/>
  </r>
  <r>
    <x v="3"/>
    <x v="4"/>
    <x v="11"/>
    <x v="0"/>
    <n v="6"/>
    <d v="2024-01-31T00:00:00"/>
    <n v="786000000"/>
    <n v="528000000"/>
  </r>
  <r>
    <x v="3"/>
    <x v="0"/>
    <x v="0"/>
    <x v="1"/>
    <n v="6"/>
    <d v="2024-03-31T00:00:00"/>
    <n v="834000000"/>
    <n v="510000000"/>
  </r>
  <r>
    <x v="0"/>
    <x v="0"/>
    <x v="1"/>
    <x v="1"/>
    <n v="6"/>
    <d v="2024-02-28T00:00:00"/>
    <n v="672000000"/>
    <n v="492000000"/>
  </r>
  <r>
    <x v="1"/>
    <x v="0"/>
    <x v="2"/>
    <x v="1"/>
    <n v="8"/>
    <d v="2024-01-31T00:00:00"/>
    <n v="960000000"/>
    <n v="664000000"/>
  </r>
  <r>
    <x v="2"/>
    <x v="1"/>
    <x v="3"/>
    <x v="1"/>
    <n v="9"/>
    <d v="2024-03-31T00:00:00"/>
    <n v="1080000000"/>
    <n v="738000000"/>
  </r>
  <r>
    <x v="0"/>
    <x v="1"/>
    <x v="4"/>
    <x v="1"/>
    <n v="11"/>
    <d v="2024-02-28T00:00:00"/>
    <n v="1606000000"/>
    <n v="924000000"/>
  </r>
  <r>
    <x v="1"/>
    <x v="1"/>
    <x v="5"/>
    <x v="1"/>
    <n v="12"/>
    <d v="2024-01-31T00:00:00"/>
    <n v="1692000000"/>
    <n v="984000000"/>
  </r>
  <r>
    <x v="2"/>
    <x v="2"/>
    <x v="6"/>
    <x v="1"/>
    <n v="6"/>
    <d v="2024-03-31T00:00:00"/>
    <n v="780000000"/>
    <n v="498000000"/>
  </r>
  <r>
    <x v="3"/>
    <x v="2"/>
    <x v="7"/>
    <x v="1"/>
    <n v="11"/>
    <d v="2024-02-28T00:00:00"/>
    <n v="1507000000"/>
    <n v="902000000"/>
  </r>
  <r>
    <x v="3"/>
    <x v="3"/>
    <x v="8"/>
    <x v="1"/>
    <n v="7"/>
    <d v="2024-01-31T00:00:00"/>
    <n v="854000000"/>
    <n v="567000000"/>
  </r>
  <r>
    <x v="0"/>
    <x v="3"/>
    <x v="9"/>
    <x v="1"/>
    <n v="10"/>
    <d v="2024-03-31T00:00:00"/>
    <n v="1480000000"/>
    <n v="860000000"/>
  </r>
  <r>
    <x v="1"/>
    <x v="4"/>
    <x v="10"/>
    <x v="1"/>
    <n v="9"/>
    <d v="2024-02-28T00:00:00"/>
    <n v="1233000000"/>
    <n v="756000000"/>
  </r>
  <r>
    <x v="2"/>
    <x v="4"/>
    <x v="11"/>
    <x v="1"/>
    <n v="12"/>
    <d v="2024-01-31T00:00:00"/>
    <n v="1404000000"/>
    <n v="1020000000"/>
  </r>
  <r>
    <x v="0"/>
    <x v="0"/>
    <x v="0"/>
    <x v="1"/>
    <n v="5"/>
    <d v="2024-03-31T00:00:00"/>
    <n v="730000000"/>
    <n v="450000000"/>
  </r>
  <r>
    <x v="1"/>
    <x v="0"/>
    <x v="1"/>
    <x v="1"/>
    <n v="7"/>
    <d v="2024-02-28T00:00:00"/>
    <n v="980000000"/>
    <n v="630000000"/>
  </r>
  <r>
    <x v="2"/>
    <x v="0"/>
    <x v="2"/>
    <x v="1"/>
    <n v="11"/>
    <d v="2024-01-31T00:00:00"/>
    <n v="1375000000"/>
    <n v="957000000"/>
  </r>
  <r>
    <x v="3"/>
    <x v="1"/>
    <x v="3"/>
    <x v="1"/>
    <n v="10"/>
    <d v="2024-03-31T00:00:00"/>
    <n v="1410000000"/>
    <n v="820000000"/>
  </r>
  <r>
    <x v="3"/>
    <x v="1"/>
    <x v="4"/>
    <x v="1"/>
    <n v="10"/>
    <d v="2024-02-28T00:00:00"/>
    <n v="1410000000"/>
    <n v="830000000"/>
  </r>
  <r>
    <x v="0"/>
    <x v="1"/>
    <x v="5"/>
    <x v="1"/>
    <n v="6"/>
    <d v="2024-01-31T00:00:00"/>
    <n v="858000000"/>
    <n v="528000000"/>
  </r>
  <r>
    <x v="1"/>
    <x v="2"/>
    <x v="6"/>
    <x v="1"/>
    <n v="10"/>
    <d v="2024-03-31T00:00:00"/>
    <n v="1220000000"/>
    <n v="810000000"/>
  </r>
  <r>
    <x v="2"/>
    <x v="2"/>
    <x v="7"/>
    <x v="1"/>
    <n v="6"/>
    <d v="2024-02-28T00:00:00"/>
    <n v="720000000"/>
    <n v="504000000"/>
  </r>
  <r>
    <x v="0"/>
    <x v="3"/>
    <x v="8"/>
    <x v="1"/>
    <n v="6"/>
    <d v="2024-01-31T00:00:00"/>
    <n v="714000000"/>
    <n v="522000000"/>
  </r>
  <r>
    <x v="1"/>
    <x v="3"/>
    <x v="9"/>
    <x v="1"/>
    <n v="12"/>
    <d v="2024-03-31T00:00:00"/>
    <n v="1584000000"/>
    <n v="1020000000"/>
  </r>
  <r>
    <x v="2"/>
    <x v="4"/>
    <x v="10"/>
    <x v="1"/>
    <n v="10"/>
    <d v="2024-02-28T00:00:00"/>
    <n v="1440000000"/>
    <n v="890000000"/>
  </r>
  <r>
    <x v="3"/>
    <x v="4"/>
    <x v="11"/>
    <x v="1"/>
    <n v="7"/>
    <d v="2024-01-31T00:00:00"/>
    <n v="966000000"/>
    <n v="588000000"/>
  </r>
  <r>
    <x v="3"/>
    <x v="0"/>
    <x v="0"/>
    <x v="1"/>
    <n v="8"/>
    <d v="2024-03-31T00:00:00"/>
    <n v="920000000"/>
    <n v="672000000"/>
  </r>
  <r>
    <x v="0"/>
    <x v="0"/>
    <x v="1"/>
    <x v="1"/>
    <n v="12"/>
    <d v="2024-02-28T00:00:00"/>
    <n v="1284000000"/>
    <n v="1056000000"/>
  </r>
  <r>
    <x v="1"/>
    <x v="0"/>
    <x v="2"/>
    <x v="1"/>
    <n v="9"/>
    <d v="2024-01-31T00:00:00"/>
    <n v="1233000000"/>
    <n v="774000000"/>
  </r>
  <r>
    <x v="2"/>
    <x v="1"/>
    <x v="3"/>
    <x v="1"/>
    <n v="12"/>
    <d v="2024-03-31T00:00:00"/>
    <n v="1728000000"/>
    <n v="972000000"/>
  </r>
  <r>
    <x v="0"/>
    <x v="1"/>
    <x v="4"/>
    <x v="1"/>
    <n v="6"/>
    <d v="2024-02-28T00:00:00"/>
    <n v="744000000"/>
    <n v="498000000"/>
  </r>
  <r>
    <x v="1"/>
    <x v="1"/>
    <x v="5"/>
    <x v="1"/>
    <n v="5"/>
    <d v="2024-01-31T00:00:00"/>
    <n v="720000000"/>
    <n v="440000000"/>
  </r>
  <r>
    <x v="2"/>
    <x v="2"/>
    <x v="6"/>
    <x v="1"/>
    <n v="11"/>
    <d v="2024-03-31T00:00:00"/>
    <n v="1529000000"/>
    <n v="913000000"/>
  </r>
  <r>
    <x v="3"/>
    <x v="2"/>
    <x v="7"/>
    <x v="1"/>
    <n v="11"/>
    <d v="2024-02-28T00:00:00"/>
    <n v="1441000000"/>
    <n v="946000000"/>
  </r>
  <r>
    <x v="3"/>
    <x v="3"/>
    <x v="8"/>
    <x v="1"/>
    <n v="6"/>
    <d v="2024-01-31T00:00:00"/>
    <n v="828000000"/>
    <n v="522000000"/>
  </r>
  <r>
    <x v="0"/>
    <x v="3"/>
    <x v="9"/>
    <x v="1"/>
    <n v="11"/>
    <d v="2024-03-31T00:00:00"/>
    <n v="1375000000"/>
    <n v="880000000"/>
  </r>
  <r>
    <x v="1"/>
    <x v="4"/>
    <x v="10"/>
    <x v="1"/>
    <n v="5"/>
    <d v="2024-02-28T00:00:00"/>
    <n v="510000000"/>
    <n v="430000000"/>
  </r>
  <r>
    <x v="2"/>
    <x v="4"/>
    <x v="11"/>
    <x v="1"/>
    <n v="12"/>
    <d v="2024-01-31T00:00:00"/>
    <n v="1728000000"/>
    <n v="996000000"/>
  </r>
  <r>
    <x v="0"/>
    <x v="0"/>
    <x v="0"/>
    <x v="2"/>
    <n v="9"/>
    <d v="2024-03-31T00:00:00"/>
    <n v="1323000000"/>
    <n v="747000000"/>
  </r>
  <r>
    <x v="1"/>
    <x v="0"/>
    <x v="1"/>
    <x v="2"/>
    <n v="12"/>
    <d v="2024-02-28T00:00:00"/>
    <n v="1248000000"/>
    <n v="1056000000"/>
  </r>
  <r>
    <x v="2"/>
    <x v="0"/>
    <x v="2"/>
    <x v="2"/>
    <n v="5"/>
    <d v="2024-01-31T00:00:00"/>
    <n v="685000000"/>
    <n v="440000000"/>
  </r>
  <r>
    <x v="3"/>
    <x v="1"/>
    <x v="3"/>
    <x v="2"/>
    <n v="5"/>
    <d v="2024-03-31T00:00:00"/>
    <n v="540000000"/>
    <n v="430000000"/>
  </r>
  <r>
    <x v="3"/>
    <x v="1"/>
    <x v="4"/>
    <x v="2"/>
    <n v="5"/>
    <d v="2024-02-28T00:00:00"/>
    <n v="655000000"/>
    <n v="415000000"/>
  </r>
  <r>
    <x v="0"/>
    <x v="1"/>
    <x v="5"/>
    <x v="2"/>
    <n v="8"/>
    <d v="2024-01-31T00:00:00"/>
    <n v="968000000"/>
    <n v="712000000"/>
  </r>
  <r>
    <x v="1"/>
    <x v="2"/>
    <x v="6"/>
    <x v="2"/>
    <n v="7"/>
    <d v="2024-03-31T00:00:00"/>
    <n v="882000000"/>
    <n v="581000000"/>
  </r>
  <r>
    <x v="2"/>
    <x v="2"/>
    <x v="7"/>
    <x v="2"/>
    <n v="5"/>
    <d v="2024-02-28T00:00:00"/>
    <n v="745000000"/>
    <n v="425000000"/>
  </r>
  <r>
    <x v="0"/>
    <x v="3"/>
    <x v="8"/>
    <x v="2"/>
    <n v="10"/>
    <d v="2024-01-31T00:00:00"/>
    <n v="1100000000"/>
    <n v="820000000"/>
  </r>
  <r>
    <x v="1"/>
    <x v="3"/>
    <x v="9"/>
    <x v="2"/>
    <n v="6"/>
    <d v="2024-03-31T00:00:00"/>
    <n v="696000000"/>
    <n v="528000000"/>
  </r>
  <r>
    <x v="2"/>
    <x v="4"/>
    <x v="10"/>
    <x v="2"/>
    <n v="7"/>
    <d v="2024-02-28T00:00:00"/>
    <n v="742000000"/>
    <n v="602000000"/>
  </r>
  <r>
    <x v="3"/>
    <x v="4"/>
    <x v="11"/>
    <x v="2"/>
    <n v="6"/>
    <d v="2024-01-31T00:00:00"/>
    <n v="606000000"/>
    <n v="504000000"/>
  </r>
  <r>
    <x v="3"/>
    <x v="0"/>
    <x v="0"/>
    <x v="2"/>
    <n v="10"/>
    <d v="2024-03-31T00:00:00"/>
    <n v="1040000000"/>
    <n v="830000000"/>
  </r>
  <r>
    <x v="0"/>
    <x v="0"/>
    <x v="1"/>
    <x v="2"/>
    <n v="11"/>
    <d v="2024-02-28T00:00:00"/>
    <n v="1386000000"/>
    <n v="935000000"/>
  </r>
  <r>
    <x v="1"/>
    <x v="0"/>
    <x v="2"/>
    <x v="2"/>
    <n v="11"/>
    <d v="2024-01-31T00:00:00"/>
    <n v="1485000000"/>
    <n v="968000000"/>
  </r>
  <r>
    <x v="2"/>
    <x v="1"/>
    <x v="3"/>
    <x v="2"/>
    <n v="6"/>
    <d v="2024-03-31T00:00:00"/>
    <n v="750000000"/>
    <n v="510000000"/>
  </r>
  <r>
    <x v="0"/>
    <x v="1"/>
    <x v="4"/>
    <x v="2"/>
    <n v="11"/>
    <d v="2024-02-28T00:00:00"/>
    <n v="1562000000"/>
    <n v="957000000"/>
  </r>
  <r>
    <x v="1"/>
    <x v="1"/>
    <x v="5"/>
    <x v="2"/>
    <n v="11"/>
    <d v="2024-01-31T00:00:00"/>
    <n v="1386000000"/>
    <n v="902000000"/>
  </r>
  <r>
    <x v="2"/>
    <x v="2"/>
    <x v="6"/>
    <x v="2"/>
    <n v="11"/>
    <d v="2024-03-31T00:00:00"/>
    <n v="1408000000"/>
    <n v="957000000"/>
  </r>
  <r>
    <x v="3"/>
    <x v="2"/>
    <x v="7"/>
    <x v="2"/>
    <n v="11"/>
    <d v="2024-02-28T00:00:00"/>
    <n v="1441000000"/>
    <n v="880000000"/>
  </r>
  <r>
    <x v="3"/>
    <x v="3"/>
    <x v="8"/>
    <x v="2"/>
    <n v="9"/>
    <d v="2024-01-31T00:00:00"/>
    <n v="1161000000"/>
    <n v="783000000"/>
  </r>
  <r>
    <x v="0"/>
    <x v="3"/>
    <x v="9"/>
    <x v="2"/>
    <n v="10"/>
    <d v="2024-03-31T00:00:00"/>
    <n v="1460000000"/>
    <n v="880000000"/>
  </r>
  <r>
    <x v="1"/>
    <x v="4"/>
    <x v="10"/>
    <x v="2"/>
    <n v="10"/>
    <d v="2024-02-28T00:00:00"/>
    <n v="1330000000"/>
    <n v="810000000"/>
  </r>
  <r>
    <x v="2"/>
    <x v="4"/>
    <x v="11"/>
    <x v="2"/>
    <n v="9"/>
    <d v="2024-01-31T00:00:00"/>
    <n v="918000000"/>
    <n v="783000000"/>
  </r>
  <r>
    <x v="0"/>
    <x v="0"/>
    <x v="0"/>
    <x v="2"/>
    <n v="5"/>
    <d v="2024-03-31T00:00:00"/>
    <n v="730000000"/>
    <n v="435000000"/>
  </r>
  <r>
    <x v="1"/>
    <x v="0"/>
    <x v="1"/>
    <x v="2"/>
    <n v="11"/>
    <d v="2024-02-28T00:00:00"/>
    <n v="1606000000"/>
    <n v="968000000"/>
  </r>
  <r>
    <x v="2"/>
    <x v="0"/>
    <x v="2"/>
    <x v="2"/>
    <n v="10"/>
    <d v="2024-01-31T00:00:00"/>
    <n v="1260000000"/>
    <n v="870000000"/>
  </r>
  <r>
    <x v="3"/>
    <x v="1"/>
    <x v="3"/>
    <x v="2"/>
    <n v="8"/>
    <d v="2024-03-31T00:00:00"/>
    <n v="1048000000"/>
    <n v="712000000"/>
  </r>
  <r>
    <x v="3"/>
    <x v="1"/>
    <x v="4"/>
    <x v="2"/>
    <n v="6"/>
    <d v="2024-02-28T00:00:00"/>
    <n v="714000000"/>
    <n v="498000000"/>
  </r>
  <r>
    <x v="0"/>
    <x v="1"/>
    <x v="5"/>
    <x v="2"/>
    <n v="6"/>
    <d v="2024-01-31T00:00:00"/>
    <n v="774000000"/>
    <n v="522000000"/>
  </r>
  <r>
    <x v="1"/>
    <x v="2"/>
    <x v="6"/>
    <x v="2"/>
    <n v="8"/>
    <d v="2024-03-31T00:00:00"/>
    <n v="1112000000"/>
    <n v="712000000"/>
  </r>
  <r>
    <x v="2"/>
    <x v="2"/>
    <x v="7"/>
    <x v="2"/>
    <n v="12"/>
    <d v="2024-02-28T00:00:00"/>
    <n v="1644000000"/>
    <n v="1032000000"/>
  </r>
  <r>
    <x v="0"/>
    <x v="3"/>
    <x v="8"/>
    <x v="2"/>
    <n v="5"/>
    <d v="2024-01-31T00:00:00"/>
    <n v="540000000"/>
    <n v="450000000"/>
  </r>
  <r>
    <x v="1"/>
    <x v="3"/>
    <x v="9"/>
    <x v="2"/>
    <n v="9"/>
    <d v="2024-03-31T00:00:00"/>
    <n v="1035000000"/>
    <n v="810000000"/>
  </r>
  <r>
    <x v="2"/>
    <x v="4"/>
    <x v="10"/>
    <x v="2"/>
    <n v="6"/>
    <d v="2024-02-28T00:00:00"/>
    <n v="744000000"/>
    <n v="486000000"/>
  </r>
  <r>
    <x v="3"/>
    <x v="4"/>
    <x v="11"/>
    <x v="2"/>
    <n v="12"/>
    <d v="2024-01-31T00:00:00"/>
    <n v="1320000000"/>
    <n v="1032000000"/>
  </r>
  <r>
    <x v="4"/>
    <x v="5"/>
    <x v="12"/>
    <x v="3"/>
    <n v="12"/>
    <d v="2024-03-31T00:00:00"/>
    <n v="838176860"/>
    <n v="670541488"/>
  </r>
  <r>
    <x v="4"/>
    <x v="5"/>
    <x v="12"/>
    <x v="4"/>
    <n v="12"/>
    <d v="2024-02-28T00:00:00"/>
    <n v="567038560"/>
    <n v="453630848"/>
  </r>
  <r>
    <x v="4"/>
    <x v="5"/>
    <x v="13"/>
    <x v="3"/>
    <n v="3"/>
    <d v="2024-01-31T00:00:00"/>
    <n v="810098132"/>
    <n v="648078505.60000002"/>
  </r>
  <r>
    <x v="4"/>
    <x v="5"/>
    <x v="12"/>
    <x v="4"/>
    <n v="6"/>
    <d v="2024-03-31T00:00:00"/>
    <n v="574603444"/>
    <n v="459682755.20000005"/>
  </r>
  <r>
    <x v="5"/>
    <x v="5"/>
    <x v="13"/>
    <x v="3"/>
    <n v="7"/>
    <d v="2024-02-28T00:00:00"/>
    <n v="830590049"/>
    <n v="664472039.20000005"/>
  </r>
  <r>
    <x v="5"/>
    <x v="5"/>
    <x v="12"/>
    <x v="4"/>
    <n v="10"/>
    <d v="2024-01-31T00:00:00"/>
    <n v="899244384"/>
    <n v="719395507.20000005"/>
  </r>
  <r>
    <x v="4"/>
    <x v="5"/>
    <x v="12"/>
    <x v="3"/>
    <n v="10"/>
    <d v="2024-03-31T00:00:00"/>
    <n v="638936380"/>
    <n v="511149104"/>
  </r>
  <r>
    <x v="4"/>
    <x v="5"/>
    <x v="12"/>
    <x v="4"/>
    <n v="5"/>
    <d v="2024-02-28T00:00:00"/>
    <n v="473083849"/>
    <n v="378467079.2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CB3F30-FB95-4ABE-B76F-9BE8E05A8CF6}" name="PivotTable4"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4:I19" firstHeaderRow="0" firstDataRow="1" firstDataCol="1"/>
  <pivotFields count="11">
    <pivotField showAll="0"/>
    <pivotField showAll="0"/>
    <pivotField axis="axisRow" showAll="0">
      <items count="15">
        <item x="10"/>
        <item x="0"/>
        <item x="5"/>
        <item x="4"/>
        <item x="6"/>
        <item x="1"/>
        <item x="3"/>
        <item x="11"/>
        <item x="2"/>
        <item x="9"/>
        <item x="7"/>
        <item x="8"/>
        <item x="12"/>
        <item x="13"/>
        <item t="default"/>
      </items>
    </pivotField>
    <pivotField showAll="0"/>
    <pivotField showAll="0"/>
    <pivotField showAll="0"/>
    <pivotField dataField="1"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15">
    <i>
      <x/>
    </i>
    <i>
      <x v="1"/>
    </i>
    <i>
      <x v="2"/>
    </i>
    <i>
      <x v="3"/>
    </i>
    <i>
      <x v="4"/>
    </i>
    <i>
      <x v="5"/>
    </i>
    <i>
      <x v="6"/>
    </i>
    <i>
      <x v="7"/>
    </i>
    <i>
      <x v="8"/>
    </i>
    <i>
      <x v="9"/>
    </i>
    <i>
      <x v="10"/>
    </i>
    <i>
      <x v="11"/>
    </i>
    <i>
      <x v="12"/>
    </i>
    <i>
      <x v="13"/>
    </i>
    <i t="grand">
      <x/>
    </i>
  </rowItems>
  <colFields count="1">
    <field x="-2"/>
  </colFields>
  <colItems count="5">
    <i>
      <x/>
    </i>
    <i i="1">
      <x v="1"/>
    </i>
    <i i="2">
      <x v="2"/>
    </i>
    <i i="3">
      <x v="3"/>
    </i>
    <i i="4">
      <x v="4"/>
    </i>
  </colItems>
  <dataFields count="5">
    <dataField name="Sum of Penjualan" fld="6" baseField="0" baseItem="0"/>
    <dataField name="Sum of Harga Modal" fld="7" baseField="0" baseItem="0"/>
    <dataField name="Sum of Penjualan Bersih" fld="8" baseField="0" baseItem="0"/>
    <dataField name="Sum of PPN" fld="9" baseField="0" baseItem="0"/>
    <dataField name="Sum of Laba Bersih" fld="10" baseField="0" baseItem="0"/>
  </dataFields>
  <formats count="11">
    <format dxfId="10">
      <pivotArea type="all" dataOnly="0" outline="0" fieldPosition="0"/>
    </format>
    <format dxfId="9">
      <pivotArea outline="0" collapsedLevelsAreSubtotals="1" fieldPosition="0"/>
    </format>
    <format dxfId="8">
      <pivotArea field="2" type="button" dataOnly="0" labelOnly="1" outline="0" axis="axisRow" fieldPosition="0"/>
    </format>
    <format dxfId="7">
      <pivotArea dataOnly="0" labelOnly="1" grandRow="1" outline="0" fieldPosition="0"/>
    </format>
    <format dxfId="6">
      <pivotArea dataOnly="0" labelOnly="1" outline="0" fieldPosition="0">
        <references count="1">
          <reference field="4294967294" count="2">
            <x v="0"/>
            <x v="1"/>
          </reference>
        </references>
      </pivotArea>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fieldPosition="0">
        <references count="1">
          <reference field="2" count="0"/>
        </references>
      </pivotArea>
    </format>
    <format dxfId="1">
      <pivotArea dataOnly="0" labelOnly="1" grandRow="1" outline="0" fieldPosition="0"/>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3DF60C-F959-4EB3-A8BF-78D50538891C}"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D55:E70" firstHeaderRow="1" firstDataRow="1" firstDataCol="1" rowPageCount="1" colPageCount="1"/>
  <pivotFields count="8">
    <pivotField showAll="0"/>
    <pivotField axis="axisPage" multipleItemSelectionAllowed="1" showAll="0">
      <items count="7">
        <item x="1"/>
        <item x="5"/>
        <item x="3"/>
        <item x="4"/>
        <item x="2"/>
        <item x="0"/>
        <item t="default"/>
      </items>
    </pivotField>
    <pivotField axis="axisRow" showAll="0">
      <items count="15">
        <item x="10"/>
        <item x="0"/>
        <item x="5"/>
        <item x="12"/>
        <item x="4"/>
        <item x="6"/>
        <item x="1"/>
        <item x="3"/>
        <item x="11"/>
        <item x="2"/>
        <item x="9"/>
        <item x="13"/>
        <item x="7"/>
        <item x="8"/>
        <item t="default"/>
      </items>
    </pivotField>
    <pivotField showAll="0"/>
    <pivotField numFmtId="164" showAll="0"/>
    <pivotField numFmtId="14" showAll="0"/>
    <pivotField dataField="1" numFmtId="41" showAll="0"/>
    <pivotField numFmtId="41" showAll="0"/>
  </pivotFields>
  <rowFields count="1">
    <field x="2"/>
  </rowFields>
  <rowItems count="15">
    <i>
      <x/>
    </i>
    <i>
      <x v="1"/>
    </i>
    <i>
      <x v="2"/>
    </i>
    <i>
      <x v="3"/>
    </i>
    <i>
      <x v="4"/>
    </i>
    <i>
      <x v="5"/>
    </i>
    <i>
      <x v="6"/>
    </i>
    <i>
      <x v="7"/>
    </i>
    <i>
      <x v="8"/>
    </i>
    <i>
      <x v="9"/>
    </i>
    <i>
      <x v="10"/>
    </i>
    <i>
      <x v="11"/>
    </i>
    <i>
      <x v="12"/>
    </i>
    <i>
      <x v="13"/>
    </i>
    <i t="grand">
      <x/>
    </i>
  </rowItems>
  <colItems count="1">
    <i/>
  </colItems>
  <pageFields count="1">
    <pageField fld="1" hier="-1"/>
  </pageFields>
  <dataFields count="1">
    <dataField name="Sum of Penjualan" fld="6" showDataAs="percentOfTotal" baseField="0" baseItem="0" numFmtId="10"/>
  </dataFields>
  <formats count="9">
    <format dxfId="19">
      <pivotArea outline="0" collapsedLevelsAreSubtotals="1" fieldPosition="0"/>
    </format>
    <format dxfId="18">
      <pivotArea dataOnly="0" labelOnly="1" outline="0" fieldPosition="0">
        <references count="1">
          <reference field="4294967294" count="1">
            <x v="0"/>
          </reference>
        </references>
      </pivotArea>
    </format>
    <format dxfId="17">
      <pivotArea outline="0" fieldPosition="0">
        <references count="1">
          <reference field="4294967294" count="1">
            <x v="0"/>
          </reference>
        </references>
      </pivotArea>
    </format>
    <format dxfId="16">
      <pivotArea type="all" dataOnly="0" outline="0" fieldPosition="0"/>
    </format>
    <format dxfId="15">
      <pivotArea outline="0" collapsedLevelsAreSubtotals="1" fieldPosition="0"/>
    </format>
    <format dxfId="14">
      <pivotArea field="2" type="button" dataOnly="0" labelOnly="1" outline="0" axis="axisRow" fieldPosition="0"/>
    </format>
    <format dxfId="13">
      <pivotArea dataOnly="0" labelOnly="1" fieldPosition="0">
        <references count="1">
          <reference field="2" count="0"/>
        </references>
      </pivotArea>
    </format>
    <format dxfId="12">
      <pivotArea dataOnly="0" labelOnly="1" grandRow="1" outline="0" fieldPosition="0"/>
    </format>
    <format dxfId="11">
      <pivotArea dataOnly="0" labelOnly="1" outline="0" axis="axisValues" fieldPosition="0"/>
    </format>
  </formats>
  <chartFormats count="1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1"/>
          </reference>
        </references>
      </pivotArea>
    </chartFormat>
    <chartFormat chart="0" format="4">
      <pivotArea type="data" outline="0" fieldPosition="0">
        <references count="2">
          <reference field="4294967294" count="1" selected="0">
            <x v="0"/>
          </reference>
          <reference field="2" count="1" selected="0">
            <x v="2"/>
          </reference>
        </references>
      </pivotArea>
    </chartFormat>
    <chartFormat chart="0" format="5">
      <pivotArea type="data" outline="0" fieldPosition="0">
        <references count="2">
          <reference field="4294967294" count="1" selected="0">
            <x v="0"/>
          </reference>
          <reference field="2" count="1" selected="0">
            <x v="3"/>
          </reference>
        </references>
      </pivotArea>
    </chartFormat>
    <chartFormat chart="0" format="6">
      <pivotArea type="data" outline="0" fieldPosition="0">
        <references count="2">
          <reference field="4294967294" count="1" selected="0">
            <x v="0"/>
          </reference>
          <reference field="2" count="1" selected="0">
            <x v="4"/>
          </reference>
        </references>
      </pivotArea>
    </chartFormat>
    <chartFormat chart="0" format="7">
      <pivotArea type="data" outline="0" fieldPosition="0">
        <references count="2">
          <reference field="4294967294" count="1" selected="0">
            <x v="0"/>
          </reference>
          <reference field="2" count="1" selected="0">
            <x v="5"/>
          </reference>
        </references>
      </pivotArea>
    </chartFormat>
    <chartFormat chart="0" format="8">
      <pivotArea type="data" outline="0" fieldPosition="0">
        <references count="2">
          <reference field="4294967294" count="1" selected="0">
            <x v="0"/>
          </reference>
          <reference field="2" count="1" selected="0">
            <x v="6"/>
          </reference>
        </references>
      </pivotArea>
    </chartFormat>
    <chartFormat chart="0" format="9">
      <pivotArea type="data" outline="0" fieldPosition="0">
        <references count="2">
          <reference field="4294967294" count="1" selected="0">
            <x v="0"/>
          </reference>
          <reference field="2" count="1" selected="0">
            <x v="7"/>
          </reference>
        </references>
      </pivotArea>
    </chartFormat>
    <chartFormat chart="0" format="10">
      <pivotArea type="data" outline="0" fieldPosition="0">
        <references count="2">
          <reference field="4294967294" count="1" selected="0">
            <x v="0"/>
          </reference>
          <reference field="2" count="1" selected="0">
            <x v="8"/>
          </reference>
        </references>
      </pivotArea>
    </chartFormat>
    <chartFormat chart="0" format="11">
      <pivotArea type="data" outline="0" fieldPosition="0">
        <references count="2">
          <reference field="4294967294" count="1" selected="0">
            <x v="0"/>
          </reference>
          <reference field="2" count="1" selected="0">
            <x v="9"/>
          </reference>
        </references>
      </pivotArea>
    </chartFormat>
    <chartFormat chart="0" format="12">
      <pivotArea type="data" outline="0" fieldPosition="0">
        <references count="2">
          <reference field="4294967294" count="1" selected="0">
            <x v="0"/>
          </reference>
          <reference field="2" count="1" selected="0">
            <x v="10"/>
          </reference>
        </references>
      </pivotArea>
    </chartFormat>
    <chartFormat chart="0" format="13">
      <pivotArea type="data" outline="0" fieldPosition="0">
        <references count="2">
          <reference field="4294967294" count="1" selected="0">
            <x v="0"/>
          </reference>
          <reference field="2" count="1" selected="0">
            <x v="11"/>
          </reference>
        </references>
      </pivotArea>
    </chartFormat>
    <chartFormat chart="0" format="14">
      <pivotArea type="data" outline="0" fieldPosition="0">
        <references count="2">
          <reference field="4294967294" count="1" selected="0">
            <x v="0"/>
          </reference>
          <reference field="2" count="1" selected="0">
            <x v="12"/>
          </reference>
        </references>
      </pivotArea>
    </chartFormat>
    <chartFormat chart="0" format="15">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69E32E-BFEC-42A2-98BC-FA2B9B35076E}" name="PivotTable1"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D79:E94" firstHeaderRow="1" firstDataRow="1" firstDataCol="1"/>
  <pivotFields count="8">
    <pivotField showAll="0">
      <items count="7">
        <item h="1" x="0"/>
        <item h="1" x="1"/>
        <item x="2"/>
        <item x="3"/>
        <item h="1" x="5"/>
        <item h="1" x="4"/>
        <item t="default"/>
      </items>
    </pivotField>
    <pivotField axis="axisRow" showAll="0">
      <items count="7">
        <item x="1"/>
        <item x="5"/>
        <item x="3"/>
        <item x="4"/>
        <item x="2"/>
        <item x="0"/>
        <item t="default"/>
      </items>
    </pivotField>
    <pivotField axis="axisRow" showAll="0">
      <items count="15">
        <item x="10"/>
        <item x="0"/>
        <item x="5"/>
        <item x="12"/>
        <item x="4"/>
        <item x="6"/>
        <item x="1"/>
        <item x="3"/>
        <item x="11"/>
        <item x="2"/>
        <item x="9"/>
        <item x="13"/>
        <item x="7"/>
        <item x="8"/>
        <item t="default"/>
      </items>
    </pivotField>
    <pivotField showAll="0">
      <items count="6">
        <item x="1"/>
        <item h="1" x="0"/>
        <item h="1" x="3"/>
        <item h="1" x="4"/>
        <item h="1" x="2"/>
        <item t="default"/>
      </items>
    </pivotField>
    <pivotField numFmtId="164" showAll="0"/>
    <pivotField numFmtId="14" showAll="0">
      <items count="4">
        <item x="2"/>
        <item x="1"/>
        <item x="0"/>
        <item t="default"/>
      </items>
    </pivotField>
    <pivotField dataField="1" numFmtId="41" showAll="0"/>
    <pivotField numFmtId="41" showAll="0"/>
  </pivotFields>
  <rowFields count="2">
    <field x="1"/>
    <field x="2"/>
  </rowFields>
  <rowItems count="15">
    <i>
      <x/>
    </i>
    <i r="1">
      <x v="4"/>
    </i>
    <i r="1">
      <x v="7"/>
    </i>
    <i>
      <x v="2"/>
    </i>
    <i r="1">
      <x v="13"/>
    </i>
    <i>
      <x v="3"/>
    </i>
    <i r="1">
      <x/>
    </i>
    <i r="1">
      <x v="8"/>
    </i>
    <i>
      <x v="4"/>
    </i>
    <i r="1">
      <x v="5"/>
    </i>
    <i r="1">
      <x v="12"/>
    </i>
    <i>
      <x v="5"/>
    </i>
    <i r="1">
      <x v="1"/>
    </i>
    <i r="1">
      <x v="9"/>
    </i>
    <i t="grand">
      <x/>
    </i>
  </rowItems>
  <colItems count="1">
    <i/>
  </colItems>
  <dataFields count="1">
    <dataField name="Sum of Penjualan" fld="6"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63BD12-FF9C-416A-AB6E-2636E3E4E509}"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3:H40" firstHeaderRow="1" firstDataRow="2" firstDataCol="1" rowPageCount="2" colPageCount="1"/>
  <pivotFields count="11">
    <pivotField axis="axisPage" multipleItemSelectionAllowed="1" showAll="0">
      <items count="7">
        <item x="0"/>
        <item h="1" x="1"/>
        <item h="1" x="2"/>
        <item x="3"/>
        <item h="1" x="4"/>
        <item h="1" x="5"/>
        <item t="default"/>
      </items>
    </pivotField>
    <pivotField axis="axisPage" multipleItemSelectionAllowed="1" showAll="0">
      <items count="7">
        <item h="1" x="1"/>
        <item x="3"/>
        <item x="4"/>
        <item h="1" x="2"/>
        <item x="0"/>
        <item h="1" x="5"/>
        <item t="default"/>
      </items>
    </pivotField>
    <pivotField axis="axisRow" showAll="0">
      <items count="15">
        <item x="10"/>
        <item x="0"/>
        <item x="5"/>
        <item x="4"/>
        <item x="6"/>
        <item x="1"/>
        <item x="3"/>
        <item x="11"/>
        <item x="2"/>
        <item x="9"/>
        <item x="7"/>
        <item x="8"/>
        <item x="12"/>
        <item x="13"/>
        <item t="default"/>
      </items>
    </pivotField>
    <pivotField axis="axisCol" showAll="0">
      <items count="6">
        <item x="1"/>
        <item x="0"/>
        <item x="2"/>
        <item x="3"/>
        <item x="4"/>
        <item t="default"/>
      </items>
    </pivotField>
    <pivotField dataField="1" numFmtId="164" showAll="0"/>
    <pivotField numFmtId="14" showAll="0"/>
    <pivotField numFmtId="164" showAll="0"/>
    <pivotField numFmtId="164"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6">
    <i>
      <x v="1"/>
    </i>
    <i>
      <x v="5"/>
    </i>
    <i>
      <x v="7"/>
    </i>
    <i>
      <x v="9"/>
    </i>
    <i>
      <x v="11"/>
    </i>
    <i t="grand">
      <x/>
    </i>
  </rowItems>
  <colFields count="1">
    <field x="3"/>
  </colFields>
  <colItems count="4">
    <i>
      <x/>
    </i>
    <i>
      <x v="1"/>
    </i>
    <i>
      <x v="2"/>
    </i>
    <i t="grand">
      <x/>
    </i>
  </colItems>
  <pageFields count="2">
    <pageField fld="1" hier="-1"/>
    <pageField fld="0" hier="-1"/>
  </pageFields>
  <dataFields count="1">
    <dataField name="Sum of Stok Terjual" fld="4" baseField="0" baseItem="0"/>
  </dataFields>
  <formats count="10">
    <format dxfId="29">
      <pivotArea type="all" dataOnly="0" outline="0" fieldPosition="0"/>
    </format>
    <format dxfId="28">
      <pivotArea outline="0" collapsedLevelsAreSubtotals="1" fieldPosition="0"/>
    </format>
    <format dxfId="27">
      <pivotArea type="origin" dataOnly="0" labelOnly="1" outline="0" fieldPosition="0"/>
    </format>
    <format dxfId="26">
      <pivotArea field="3" type="button" dataOnly="0" labelOnly="1" outline="0" axis="axisCol" fieldPosition="0"/>
    </format>
    <format dxfId="25">
      <pivotArea type="topRight" dataOnly="0" labelOnly="1" outline="0" fieldPosition="0"/>
    </format>
    <format dxfId="24">
      <pivotArea field="2" type="button" dataOnly="0" labelOnly="1" outline="0" axis="axisRow" fieldPosition="0"/>
    </format>
    <format dxfId="23">
      <pivotArea dataOnly="0" labelOnly="1" fieldPosition="0">
        <references count="1">
          <reference field="2" count="5">
            <x v="1"/>
            <x v="5"/>
            <x v="7"/>
            <x v="9"/>
            <x v="11"/>
          </reference>
        </references>
      </pivotArea>
    </format>
    <format dxfId="22">
      <pivotArea dataOnly="0" labelOnly="1" grandRow="1" outline="0" fieldPosition="0"/>
    </format>
    <format dxfId="21">
      <pivotArea dataOnly="0" labelOnly="1" fieldPosition="0">
        <references count="1">
          <reference field="3" count="0"/>
        </references>
      </pivotArea>
    </format>
    <format dxfId="2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lan" xr10:uid="{F2478858-02D4-4F47-BC20-7D1D0D05DEA5}" sourceName="Bulan">
  <pivotTables>
    <pivotTable tabId="5" name="PivotTable1"/>
  </pivotTables>
  <data>
    <tabular pivotCacheId="288082805">
      <items count="6">
        <i x="0"/>
        <i x="1"/>
        <i x="2" s="1"/>
        <i x="3" s="1"/>
        <i x="5" nd="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47FC8A34-3AF4-4C28-A000-8E1A66548576}" sourceName="Area">
  <pivotTables>
    <pivotTable tabId="5" name="PivotTable1"/>
  </pivotTables>
  <data>
    <tabular pivotCacheId="288082805">
      <items count="5">
        <i x="1" s="1"/>
        <i x="0"/>
        <i x="2"/>
        <i x="3"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lan" xr10:uid="{EABEAFC8-799E-4531-B172-F46843B7FC56}" cache="Slicer_Bulan" caption="Bulan" rowHeight="241300"/>
  <slicer name="Area" xr10:uid="{F2EBD642-B692-4E7C-A8CB-FCA2617F2C04}" cache="Slicer_Area" caption="Are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768E3E-CEC1-4A8D-8129-E71A6CE65164}" name="Table1" displayName="Table1" ref="A1:H117" totalsRowShown="0" headerRowDxfId="44" dataDxfId="42" headerRowBorderDxfId="43" tableBorderDxfId="41" totalsRowBorderDxfId="40" headerRowCellStyle="Comma" dataCellStyle="Comma">
  <autoFilter ref="A1:H117" xr:uid="{B5768E3E-CEC1-4A8D-8129-E71A6CE65164}"/>
  <tableColumns count="8">
    <tableColumn id="1" xr3:uid="{5FE97C03-4C9A-44C6-B73C-051BE6F77995}" name="Bulan" dataDxfId="39" dataCellStyle="Comma"/>
    <tableColumn id="2" xr3:uid="{FF39C54B-9F25-4DA3-9E5E-C9B7A4BDE180}" name="Merek" dataDxfId="38" dataCellStyle="Comma"/>
    <tableColumn id="3" xr3:uid="{67CAAF4D-846B-40D2-9352-DE0E8EFC92B3}" name="Tipe" dataDxfId="37" dataCellStyle="Comma"/>
    <tableColumn id="4" xr3:uid="{6CA42718-58DC-49F7-9940-B73267B545BD}" name="Area" dataDxfId="36" dataCellStyle="Comma"/>
    <tableColumn id="5" xr3:uid="{29C74847-A6A0-48C6-964D-B1006946B1D4}" name="Stok Terjual" dataDxfId="35" dataCellStyle="Comma"/>
    <tableColumn id="6" xr3:uid="{6DA531F7-0E5D-49DB-AA86-02D928429EDF}" name="Pajak Kadaluwarsa" dataDxfId="34" dataCellStyle="Comma"/>
    <tableColumn id="7" xr3:uid="{68BFA412-09CC-4F05-AE11-D01AA2166362}" name="Penjualan" dataDxfId="33" dataCellStyle="Comma [0]"/>
    <tableColumn id="8" xr3:uid="{E235182C-463B-4451-85B0-C382FD074128}" name="Harga Modal" dataDxfId="32" dataCellStyle="Comma [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ajak_Kadaluwarsa" xr10:uid="{7C1EF6C2-A547-47A7-B251-48CB1D61EF8C}" sourceName="Pajak Kadaluwarsa">
  <pivotTables>
    <pivotTable tabId="5" name="PivotTable1"/>
  </pivotTables>
  <state minimalRefreshVersion="6" lastRefreshVersion="6" pivotCacheId="288082805"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ajak Kadaluwarsa" xr10:uid="{716C0BB4-C6F4-4E95-9F31-0ED17C8B444C}" cache="NativeTimeline_Pajak_Kadaluwarsa" caption="Pajak Kadaluwarsa" level="2" selectionLevel="2" scrollPosition="2024-06-05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emily.white@email.com" TargetMode="External"/><Relationship Id="rId2" Type="http://schemas.openxmlformats.org/officeDocument/2006/relationships/hyperlink" Target="mailto:jane.smith@email.com" TargetMode="External"/><Relationship Id="rId1" Type="http://schemas.openxmlformats.org/officeDocument/2006/relationships/hyperlink" Target="mailto:john.doe@email.com"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79694-1B5B-4860-9B37-09A8D88E110F}">
  <sheetPr codeName="Sheet1"/>
  <dimension ref="A1:K787"/>
  <sheetViews>
    <sheetView tabSelected="1" topLeftCell="C343" zoomScale="63" zoomScaleNormal="70" workbookViewId="0">
      <selection activeCell="E368" sqref="E368"/>
    </sheetView>
  </sheetViews>
  <sheetFormatPr defaultRowHeight="15" x14ac:dyDescent="0.25"/>
  <cols>
    <col min="1" max="1" width="53.85546875" style="2" bestFit="1" customWidth="1"/>
    <col min="2" max="2" width="39.5703125" style="2" bestFit="1" customWidth="1"/>
    <col min="3" max="3" width="32.5703125" style="2" bestFit="1" customWidth="1"/>
    <col min="4" max="4" width="47.5703125" style="2" bestFit="1" customWidth="1"/>
    <col min="5" max="5" width="48.85546875" style="2" bestFit="1" customWidth="1"/>
    <col min="6" max="6" width="59.140625" style="2" bestFit="1" customWidth="1"/>
    <col min="7" max="7" width="23" style="2" bestFit="1" customWidth="1"/>
    <col min="8" max="8" width="16.7109375" style="2" bestFit="1" customWidth="1"/>
    <col min="9" max="9" width="31" style="2" bestFit="1" customWidth="1"/>
    <col min="10" max="10" width="6.85546875" style="2" bestFit="1" customWidth="1"/>
    <col min="11" max="11" width="255.7109375" style="7" bestFit="1" customWidth="1"/>
  </cols>
  <sheetData>
    <row r="1" spans="1:11" ht="26.25" x14ac:dyDescent="0.4">
      <c r="A1" s="1" t="s">
        <v>0</v>
      </c>
      <c r="K1" s="1" t="s">
        <v>5</v>
      </c>
    </row>
    <row r="3" spans="1:11" x14ac:dyDescent="0.25">
      <c r="A3" s="3" t="s">
        <v>1</v>
      </c>
    </row>
    <row r="4" spans="1:11" x14ac:dyDescent="0.25">
      <c r="A4" s="3" t="s">
        <v>2</v>
      </c>
    </row>
    <row r="5" spans="1:11" x14ac:dyDescent="0.25">
      <c r="A5" s="3" t="s">
        <v>3</v>
      </c>
    </row>
    <row r="10" spans="1:11" ht="19.5" x14ac:dyDescent="0.3">
      <c r="B10" s="4" t="s">
        <v>4</v>
      </c>
      <c r="K10" s="59" t="s">
        <v>6</v>
      </c>
    </row>
    <row r="11" spans="1:11" ht="19.5" x14ac:dyDescent="0.3">
      <c r="B11" s="5"/>
      <c r="K11" s="59" t="s">
        <v>195</v>
      </c>
    </row>
    <row r="12" spans="1:11" ht="17.25" x14ac:dyDescent="0.3">
      <c r="C12" s="69" t="s">
        <v>7</v>
      </c>
      <c r="D12" s="69" t="s">
        <v>8</v>
      </c>
      <c r="E12" s="69" t="s">
        <v>9</v>
      </c>
      <c r="F12" s="73" t="s">
        <v>27</v>
      </c>
      <c r="G12" s="6"/>
      <c r="H12" s="6"/>
      <c r="I12" s="6"/>
      <c r="J12" s="6"/>
      <c r="K12" s="59" t="s">
        <v>13</v>
      </c>
    </row>
    <row r="13" spans="1:11" x14ac:dyDescent="0.25">
      <c r="C13" s="66">
        <v>1</v>
      </c>
      <c r="D13" s="66" t="s">
        <v>10</v>
      </c>
      <c r="E13" s="66">
        <v>1000</v>
      </c>
      <c r="F13" s="66">
        <f>VLOOKUP(C13,$C$12:$E$15,3,FALSE)</f>
        <v>1000</v>
      </c>
      <c r="K13" s="8" t="s">
        <v>53</v>
      </c>
    </row>
    <row r="14" spans="1:11" x14ac:dyDescent="0.25">
      <c r="C14" s="66">
        <v>2</v>
      </c>
      <c r="D14" s="66" t="s">
        <v>11</v>
      </c>
      <c r="E14" s="66">
        <v>2000</v>
      </c>
      <c r="F14" s="66">
        <f t="shared" ref="F14:F15" si="0">VLOOKUP(C14,C13:E16,3,FALSE)</f>
        <v>2000</v>
      </c>
      <c r="K14" s="7" t="s">
        <v>30</v>
      </c>
    </row>
    <row r="15" spans="1:11" x14ac:dyDescent="0.25">
      <c r="C15" s="66">
        <v>3</v>
      </c>
      <c r="D15" s="66" t="s">
        <v>12</v>
      </c>
      <c r="E15" s="66">
        <v>3000</v>
      </c>
      <c r="F15" s="66">
        <f t="shared" si="0"/>
        <v>3000</v>
      </c>
      <c r="K15" s="7" t="s">
        <v>31</v>
      </c>
    </row>
    <row r="16" spans="1:11" x14ac:dyDescent="0.25">
      <c r="K16" s="7" t="s">
        <v>32</v>
      </c>
    </row>
    <row r="17" spans="2:11" x14ac:dyDescent="0.25">
      <c r="K17" s="7" t="s">
        <v>33</v>
      </c>
    </row>
    <row r="18" spans="2:11" x14ac:dyDescent="0.25">
      <c r="B18" s="6" t="s">
        <v>651</v>
      </c>
      <c r="C18" s="69" t="s">
        <v>631</v>
      </c>
      <c r="D18" s="69" t="s">
        <v>608</v>
      </c>
      <c r="E18" s="73" t="s">
        <v>632</v>
      </c>
      <c r="F18" s="73" t="s">
        <v>633</v>
      </c>
      <c r="G18" s="6"/>
      <c r="K18" s="7" t="s">
        <v>34</v>
      </c>
    </row>
    <row r="19" spans="2:11" x14ac:dyDescent="0.25">
      <c r="C19" s="67">
        <v>45722</v>
      </c>
      <c r="D19" s="66">
        <v>106</v>
      </c>
      <c r="E19" s="66" t="str">
        <f>VLOOKUP(D19,$C$31:$F$41,2,FALSE)</f>
        <v>Sophia Mayer</v>
      </c>
      <c r="F19" s="66" t="str">
        <f>VLOOKUP(D19,$C$31:$F$41,4,FALSE)</f>
        <v>Surabaya</v>
      </c>
    </row>
    <row r="20" spans="2:11" x14ac:dyDescent="0.25">
      <c r="C20" s="67">
        <v>45723</v>
      </c>
      <c r="D20" s="66">
        <v>102</v>
      </c>
      <c r="E20" s="66" t="str">
        <f t="shared" ref="E20:E28" si="1">VLOOKUP(D20,$C$31:$F$41,2,FALSE)</f>
        <v>Arthur Miles</v>
      </c>
      <c r="F20" s="66" t="str">
        <f t="shared" ref="F20:F28" si="2">VLOOKUP(D20,$C$31:$F$41,4,FALSE)</f>
        <v>Palembang</v>
      </c>
    </row>
    <row r="21" spans="2:11" x14ac:dyDescent="0.25">
      <c r="C21" s="67">
        <v>45724</v>
      </c>
      <c r="D21" s="66">
        <v>104</v>
      </c>
      <c r="E21" s="66" t="str">
        <f t="shared" si="1"/>
        <v>Ariana Clark</v>
      </c>
      <c r="F21" s="66" t="str">
        <f t="shared" si="2"/>
        <v>Jakarta</v>
      </c>
    </row>
    <row r="22" spans="2:11" x14ac:dyDescent="0.25">
      <c r="C22" s="67">
        <v>45725</v>
      </c>
      <c r="D22" s="66">
        <v>105</v>
      </c>
      <c r="E22" s="66" t="str">
        <f t="shared" si="1"/>
        <v>Amanda Mell</v>
      </c>
      <c r="F22" s="66" t="str">
        <f t="shared" si="2"/>
        <v>Bandung</v>
      </c>
    </row>
    <row r="23" spans="2:11" x14ac:dyDescent="0.25">
      <c r="C23" s="67">
        <v>45726</v>
      </c>
      <c r="D23" s="66">
        <v>110</v>
      </c>
      <c r="E23" s="66" t="str">
        <f t="shared" si="1"/>
        <v>Justin Jane</v>
      </c>
      <c r="F23" s="66" t="str">
        <f t="shared" si="2"/>
        <v>Bandung</v>
      </c>
    </row>
    <row r="24" spans="2:11" x14ac:dyDescent="0.25">
      <c r="C24" s="67">
        <v>45727</v>
      </c>
      <c r="D24" s="66">
        <v>103</v>
      </c>
      <c r="E24" s="66" t="str">
        <f t="shared" si="1"/>
        <v>James Cordon</v>
      </c>
      <c r="F24" s="66" t="str">
        <f t="shared" si="2"/>
        <v>Bandung</v>
      </c>
    </row>
    <row r="25" spans="2:11" x14ac:dyDescent="0.25">
      <c r="C25" s="67">
        <v>45728</v>
      </c>
      <c r="D25" s="66">
        <v>108</v>
      </c>
      <c r="E25" s="66" t="str">
        <f t="shared" si="1"/>
        <v>Hermione Mark</v>
      </c>
      <c r="F25" s="66" t="str">
        <f t="shared" si="2"/>
        <v>Palembang</v>
      </c>
    </row>
    <row r="26" spans="2:11" x14ac:dyDescent="0.25">
      <c r="C26" s="67">
        <v>45729</v>
      </c>
      <c r="D26" s="66">
        <v>109</v>
      </c>
      <c r="E26" s="66" t="str">
        <f t="shared" si="1"/>
        <v>Lucy July</v>
      </c>
      <c r="F26" s="66" t="str">
        <f t="shared" si="2"/>
        <v>Jakarta</v>
      </c>
    </row>
    <row r="27" spans="2:11" x14ac:dyDescent="0.25">
      <c r="C27" s="67">
        <v>45730</v>
      </c>
      <c r="D27" s="66">
        <v>101</v>
      </c>
      <c r="E27" s="66" t="str">
        <f t="shared" si="1"/>
        <v>Lily White</v>
      </c>
      <c r="F27" s="66" t="str">
        <f t="shared" si="2"/>
        <v>Surabaya</v>
      </c>
    </row>
    <row r="28" spans="2:11" x14ac:dyDescent="0.25">
      <c r="C28" s="67">
        <v>45731</v>
      </c>
      <c r="D28" s="66">
        <v>107</v>
      </c>
      <c r="E28" s="66" t="str">
        <f t="shared" si="1"/>
        <v>Harry Potter</v>
      </c>
      <c r="F28" s="66" t="str">
        <f t="shared" si="2"/>
        <v>Palembang</v>
      </c>
    </row>
    <row r="31" spans="2:11" x14ac:dyDescent="0.25">
      <c r="B31" s="6" t="s">
        <v>652</v>
      </c>
      <c r="C31" s="69" t="s">
        <v>612</v>
      </c>
      <c r="D31" s="69" t="s">
        <v>609</v>
      </c>
      <c r="E31" s="69" t="s">
        <v>613</v>
      </c>
      <c r="F31" s="69" t="s">
        <v>610</v>
      </c>
    </row>
    <row r="32" spans="2:11" x14ac:dyDescent="0.25">
      <c r="C32" s="66">
        <v>101</v>
      </c>
      <c r="D32" s="66" t="s">
        <v>614</v>
      </c>
      <c r="E32" s="66" t="s">
        <v>624</v>
      </c>
      <c r="F32" s="66" t="s">
        <v>261</v>
      </c>
    </row>
    <row r="33" spans="3:7" x14ac:dyDescent="0.25">
      <c r="C33" s="66">
        <v>102</v>
      </c>
      <c r="D33" s="66" t="s">
        <v>615</v>
      </c>
      <c r="E33" s="66" t="s">
        <v>625</v>
      </c>
      <c r="F33" s="66" t="s">
        <v>627</v>
      </c>
    </row>
    <row r="34" spans="3:7" x14ac:dyDescent="0.25">
      <c r="C34" s="66">
        <v>103</v>
      </c>
      <c r="D34" s="66" t="s">
        <v>616</v>
      </c>
      <c r="E34" s="66" t="s">
        <v>625</v>
      </c>
      <c r="F34" s="66" t="s">
        <v>259</v>
      </c>
    </row>
    <row r="35" spans="3:7" x14ac:dyDescent="0.25">
      <c r="C35" s="66">
        <v>104</v>
      </c>
      <c r="D35" s="66" t="s">
        <v>617</v>
      </c>
      <c r="E35" s="66" t="s">
        <v>624</v>
      </c>
      <c r="F35" s="66" t="s">
        <v>258</v>
      </c>
    </row>
    <row r="36" spans="3:7" x14ac:dyDescent="0.25">
      <c r="C36" s="66">
        <v>105</v>
      </c>
      <c r="D36" s="66" t="s">
        <v>618</v>
      </c>
      <c r="E36" s="66" t="s">
        <v>624</v>
      </c>
      <c r="F36" s="66" t="s">
        <v>259</v>
      </c>
    </row>
    <row r="37" spans="3:7" x14ac:dyDescent="0.25">
      <c r="C37" s="66">
        <v>106</v>
      </c>
      <c r="D37" s="66" t="s">
        <v>619</v>
      </c>
      <c r="E37" s="66" t="s">
        <v>624</v>
      </c>
      <c r="F37" s="66" t="s">
        <v>261</v>
      </c>
    </row>
    <row r="38" spans="3:7" x14ac:dyDescent="0.25">
      <c r="C38" s="66">
        <v>107</v>
      </c>
      <c r="D38" s="66" t="s">
        <v>620</v>
      </c>
      <c r="E38" s="66" t="s">
        <v>625</v>
      </c>
      <c r="F38" s="66" t="s">
        <v>627</v>
      </c>
    </row>
    <row r="39" spans="3:7" x14ac:dyDescent="0.25">
      <c r="C39" s="66">
        <v>108</v>
      </c>
      <c r="D39" s="66" t="s">
        <v>621</v>
      </c>
      <c r="E39" s="66" t="s">
        <v>624</v>
      </c>
      <c r="F39" s="66" t="s">
        <v>627</v>
      </c>
    </row>
    <row r="40" spans="3:7" x14ac:dyDescent="0.25">
      <c r="C40" s="66">
        <v>109</v>
      </c>
      <c r="D40" s="66" t="s">
        <v>622</v>
      </c>
      <c r="E40" s="66" t="s">
        <v>624</v>
      </c>
      <c r="F40" s="66" t="s">
        <v>258</v>
      </c>
    </row>
    <row r="41" spans="3:7" x14ac:dyDescent="0.25">
      <c r="C41" s="66">
        <v>110</v>
      </c>
      <c r="D41" s="66" t="s">
        <v>623</v>
      </c>
      <c r="E41" s="66" t="s">
        <v>625</v>
      </c>
      <c r="F41" s="66" t="s">
        <v>259</v>
      </c>
    </row>
    <row r="44" spans="3:7" x14ac:dyDescent="0.25">
      <c r="C44" s="69" t="s">
        <v>626</v>
      </c>
      <c r="D44" s="66" t="s">
        <v>258</v>
      </c>
      <c r="E44" s="66" t="s">
        <v>259</v>
      </c>
      <c r="F44" s="66" t="s">
        <v>627</v>
      </c>
      <c r="G44" s="66" t="s">
        <v>261</v>
      </c>
    </row>
    <row r="45" spans="3:7" x14ac:dyDescent="0.25">
      <c r="C45" s="69" t="s">
        <v>611</v>
      </c>
      <c r="D45" s="66" t="s">
        <v>628</v>
      </c>
      <c r="E45" s="66" t="s">
        <v>628</v>
      </c>
      <c r="F45" s="66" t="s">
        <v>629</v>
      </c>
      <c r="G45" s="66" t="s">
        <v>630</v>
      </c>
    </row>
    <row r="51" spans="2:11" ht="19.5" x14ac:dyDescent="0.3">
      <c r="B51" s="4" t="s">
        <v>14</v>
      </c>
    </row>
    <row r="52" spans="2:11" ht="19.5" x14ac:dyDescent="0.3">
      <c r="B52" s="4" t="s">
        <v>15</v>
      </c>
      <c r="K52" s="59" t="s">
        <v>28</v>
      </c>
    </row>
    <row r="53" spans="2:11" ht="17.25" x14ac:dyDescent="0.3">
      <c r="C53" s="11" t="s">
        <v>16</v>
      </c>
      <c r="K53" s="59" t="s">
        <v>29</v>
      </c>
    </row>
    <row r="54" spans="2:11" x14ac:dyDescent="0.25">
      <c r="C54" s="69" t="s">
        <v>17</v>
      </c>
      <c r="D54" s="69" t="s">
        <v>18</v>
      </c>
      <c r="E54" s="73" t="s">
        <v>27</v>
      </c>
      <c r="K54" s="8" t="s">
        <v>53</v>
      </c>
    </row>
    <row r="55" spans="2:11" x14ac:dyDescent="0.25">
      <c r="C55" s="66">
        <v>101</v>
      </c>
      <c r="D55" s="66" t="s">
        <v>19</v>
      </c>
      <c r="E55" s="66" t="str">
        <f>VLOOKUP(C55,SheetHelp!B:C,2,FALSE)</f>
        <v>john.doe@email.com</v>
      </c>
      <c r="K55" s="7" t="s">
        <v>35</v>
      </c>
    </row>
    <row r="56" spans="2:11" x14ac:dyDescent="0.25">
      <c r="C56" s="66">
        <v>102</v>
      </c>
      <c r="D56" s="66" t="s">
        <v>20</v>
      </c>
      <c r="E56" s="66" t="str">
        <f>VLOOKUP(C56,SheetHelp!B:C,2,FALSE)</f>
        <v>jane.smith@email.com</v>
      </c>
      <c r="K56" s="7" t="s">
        <v>36</v>
      </c>
    </row>
    <row r="57" spans="2:11" x14ac:dyDescent="0.25">
      <c r="C57" s="66">
        <v>103</v>
      </c>
      <c r="D57" s="66" t="s">
        <v>21</v>
      </c>
      <c r="E57" s="66" t="str">
        <f>VLOOKUP(C57,SheetHelp!B:C,2,FALSE)</f>
        <v>emily.white@email.com</v>
      </c>
      <c r="K57" s="7" t="s">
        <v>37</v>
      </c>
    </row>
    <row r="58" spans="2:11" x14ac:dyDescent="0.25">
      <c r="K58" s="7" t="s">
        <v>38</v>
      </c>
    </row>
    <row r="59" spans="2:11" x14ac:dyDescent="0.25">
      <c r="K59" s="7" t="s">
        <v>39</v>
      </c>
    </row>
    <row r="62" spans="2:11" ht="19.5" x14ac:dyDescent="0.3">
      <c r="B62" s="4" t="s">
        <v>40</v>
      </c>
    </row>
    <row r="63" spans="2:11" ht="19.5" x14ac:dyDescent="0.3">
      <c r="B63" s="4" t="s">
        <v>41</v>
      </c>
    </row>
    <row r="64" spans="2:11" ht="17.25" x14ac:dyDescent="0.3">
      <c r="C64" s="11" t="s">
        <v>43</v>
      </c>
      <c r="K64" s="59" t="s">
        <v>42</v>
      </c>
    </row>
    <row r="65" spans="2:11" ht="17.25" x14ac:dyDescent="0.3">
      <c r="C65" s="69" t="s">
        <v>44</v>
      </c>
      <c r="D65" s="69" t="s">
        <v>45</v>
      </c>
      <c r="E65" s="73" t="s">
        <v>27</v>
      </c>
      <c r="K65" s="59" t="s">
        <v>52</v>
      </c>
    </row>
    <row r="66" spans="2:11" x14ac:dyDescent="0.25">
      <c r="C66" s="66" t="s">
        <v>46</v>
      </c>
      <c r="D66" s="66" t="s">
        <v>49</v>
      </c>
      <c r="E66" s="66" t="str">
        <f>VLOOKUP(C66,[1]Sheet1!$A$3:$B$6,2,FALSE)</f>
        <v>john doe</v>
      </c>
      <c r="K66" s="8" t="s">
        <v>53</v>
      </c>
    </row>
    <row r="67" spans="2:11" x14ac:dyDescent="0.25">
      <c r="C67" s="66" t="s">
        <v>47</v>
      </c>
      <c r="D67" s="66" t="s">
        <v>50</v>
      </c>
      <c r="E67" s="66" t="str">
        <f>VLOOKUP(C67,[1]Sheet1!$A$3:$B$6,2,FALSE)</f>
        <v>jane smith</v>
      </c>
      <c r="K67" s="7" t="s">
        <v>54</v>
      </c>
    </row>
    <row r="68" spans="2:11" x14ac:dyDescent="0.25">
      <c r="C68" s="66" t="s">
        <v>48</v>
      </c>
      <c r="D68" s="66" t="s">
        <v>51</v>
      </c>
      <c r="E68" s="66" t="str">
        <f>VLOOKUP(C68,[1]Sheet1!$A$3:$B$6,2,FALSE)</f>
        <v>emily white</v>
      </c>
      <c r="K68" s="9" t="s">
        <v>55</v>
      </c>
    </row>
    <row r="69" spans="2:11" x14ac:dyDescent="0.25">
      <c r="K69" s="7" t="s">
        <v>56</v>
      </c>
    </row>
    <row r="70" spans="2:11" x14ac:dyDescent="0.25">
      <c r="K70" s="7" t="s">
        <v>57</v>
      </c>
    </row>
    <row r="71" spans="2:11" x14ac:dyDescent="0.25">
      <c r="K71" s="7" t="s">
        <v>58</v>
      </c>
    </row>
    <row r="72" spans="2:11" x14ac:dyDescent="0.25">
      <c r="K72" s="7" t="s">
        <v>59</v>
      </c>
    </row>
    <row r="75" spans="2:11" ht="19.5" x14ac:dyDescent="0.3">
      <c r="B75" s="4" t="s">
        <v>202</v>
      </c>
      <c r="K75" s="59" t="s">
        <v>203</v>
      </c>
    </row>
    <row r="76" spans="2:11" ht="17.25" x14ac:dyDescent="0.3">
      <c r="D76" s="69" t="s">
        <v>207</v>
      </c>
      <c r="E76" s="69" t="s">
        <v>208</v>
      </c>
      <c r="F76" s="69" t="s">
        <v>209</v>
      </c>
      <c r="G76" s="73" t="s">
        <v>27</v>
      </c>
      <c r="H76" s="6"/>
      <c r="I76" s="6"/>
      <c r="K76" s="59" t="s">
        <v>204</v>
      </c>
    </row>
    <row r="77" spans="2:11" ht="17.25" x14ac:dyDescent="0.3">
      <c r="C77" s="69" t="s">
        <v>205</v>
      </c>
      <c r="D77" s="66">
        <v>100</v>
      </c>
      <c r="E77" s="66">
        <v>150</v>
      </c>
      <c r="F77" s="66">
        <v>120</v>
      </c>
      <c r="G77" s="66">
        <f>HLOOKUP("mar",$D$76:$F$78,2,FALSE)</f>
        <v>120</v>
      </c>
      <c r="K77" s="59" t="s">
        <v>210</v>
      </c>
    </row>
    <row r="78" spans="2:11" x14ac:dyDescent="0.25">
      <c r="C78" s="69" t="s">
        <v>206</v>
      </c>
      <c r="D78" s="66">
        <v>90</v>
      </c>
      <c r="E78" s="66">
        <v>140</v>
      </c>
      <c r="F78" s="66">
        <v>110</v>
      </c>
      <c r="G78" s="66"/>
      <c r="K78" s="8" t="s">
        <v>53</v>
      </c>
    </row>
    <row r="79" spans="2:11" x14ac:dyDescent="0.25">
      <c r="K79" s="7" t="s">
        <v>241</v>
      </c>
    </row>
    <row r="80" spans="2:11" x14ac:dyDescent="0.25">
      <c r="K80" s="7" t="s">
        <v>242</v>
      </c>
    </row>
    <row r="81" spans="2:11" x14ac:dyDescent="0.25">
      <c r="B81" s="6" t="s">
        <v>651</v>
      </c>
      <c r="C81" s="69" t="s">
        <v>631</v>
      </c>
      <c r="D81" s="69" t="s">
        <v>608</v>
      </c>
      <c r="E81" s="73" t="s">
        <v>633</v>
      </c>
      <c r="F81" s="74" t="s">
        <v>634</v>
      </c>
      <c r="K81" s="7" t="s">
        <v>243</v>
      </c>
    </row>
    <row r="82" spans="2:11" x14ac:dyDescent="0.25">
      <c r="C82" s="67">
        <v>45722</v>
      </c>
      <c r="D82" s="66">
        <v>106</v>
      </c>
      <c r="E82" s="66" t="str">
        <f>VLOOKUP(D82,$C$94:$F$104,4,FALSE)</f>
        <v>Surabaya</v>
      </c>
      <c r="F82" s="66" t="str">
        <f>HLOOKUP(E82,$C$107:$G$108,2,FALSE)</f>
        <v>3 Hari</v>
      </c>
      <c r="K82" s="7" t="s">
        <v>244</v>
      </c>
    </row>
    <row r="83" spans="2:11" x14ac:dyDescent="0.25">
      <c r="C83" s="67">
        <v>45723</v>
      </c>
      <c r="D83" s="66">
        <v>102</v>
      </c>
      <c r="E83" s="66" t="str">
        <f t="shared" ref="E83:E91" si="3">VLOOKUP(D83,$C$94:$F$104,4,FALSE)</f>
        <v>Palembang</v>
      </c>
      <c r="F83" s="66" t="str">
        <f t="shared" ref="F83:F91" si="4">HLOOKUP(E83,$C$107:$G$108,2,FALSE)</f>
        <v>2 Hari</v>
      </c>
    </row>
    <row r="84" spans="2:11" x14ac:dyDescent="0.25">
      <c r="C84" s="67">
        <v>45724</v>
      </c>
      <c r="D84" s="66">
        <v>104</v>
      </c>
      <c r="E84" s="66" t="str">
        <f t="shared" si="3"/>
        <v>Jakarta</v>
      </c>
      <c r="F84" s="66" t="str">
        <f t="shared" si="4"/>
        <v>1 Hari</v>
      </c>
    </row>
    <row r="85" spans="2:11" x14ac:dyDescent="0.25">
      <c r="C85" s="67">
        <v>45725</v>
      </c>
      <c r="D85" s="66">
        <v>105</v>
      </c>
      <c r="E85" s="66" t="str">
        <f t="shared" si="3"/>
        <v>Bandung</v>
      </c>
      <c r="F85" s="66" t="str">
        <f t="shared" si="4"/>
        <v>1 Hari</v>
      </c>
    </row>
    <row r="86" spans="2:11" x14ac:dyDescent="0.25">
      <c r="C86" s="67">
        <v>45726</v>
      </c>
      <c r="D86" s="66">
        <v>110</v>
      </c>
      <c r="E86" s="66" t="str">
        <f t="shared" si="3"/>
        <v>Bandung</v>
      </c>
      <c r="F86" s="66" t="str">
        <f t="shared" si="4"/>
        <v>1 Hari</v>
      </c>
    </row>
    <row r="87" spans="2:11" x14ac:dyDescent="0.25">
      <c r="C87" s="67">
        <v>45727</v>
      </c>
      <c r="D87" s="66">
        <v>103</v>
      </c>
      <c r="E87" s="66" t="str">
        <f t="shared" si="3"/>
        <v>Bandung</v>
      </c>
      <c r="F87" s="66" t="str">
        <f t="shared" si="4"/>
        <v>1 Hari</v>
      </c>
    </row>
    <row r="88" spans="2:11" x14ac:dyDescent="0.25">
      <c r="C88" s="67">
        <v>45728</v>
      </c>
      <c r="D88" s="66">
        <v>108</v>
      </c>
      <c r="E88" s="66" t="str">
        <f t="shared" si="3"/>
        <v>Palembang</v>
      </c>
      <c r="F88" s="66" t="str">
        <f t="shared" si="4"/>
        <v>2 Hari</v>
      </c>
    </row>
    <row r="89" spans="2:11" x14ac:dyDescent="0.25">
      <c r="C89" s="67">
        <v>45729</v>
      </c>
      <c r="D89" s="66">
        <v>109</v>
      </c>
      <c r="E89" s="66" t="str">
        <f t="shared" si="3"/>
        <v>Jakarta</v>
      </c>
      <c r="F89" s="66" t="str">
        <f t="shared" si="4"/>
        <v>1 Hari</v>
      </c>
    </row>
    <row r="90" spans="2:11" x14ac:dyDescent="0.25">
      <c r="C90" s="67">
        <v>45730</v>
      </c>
      <c r="D90" s="66">
        <v>101</v>
      </c>
      <c r="E90" s="66" t="str">
        <f t="shared" si="3"/>
        <v>Surabaya</v>
      </c>
      <c r="F90" s="66" t="str">
        <f t="shared" si="4"/>
        <v>3 Hari</v>
      </c>
    </row>
    <row r="91" spans="2:11" x14ac:dyDescent="0.25">
      <c r="C91" s="67">
        <v>45731</v>
      </c>
      <c r="D91" s="66">
        <v>107</v>
      </c>
      <c r="E91" s="66" t="str">
        <f t="shared" si="3"/>
        <v>Palembang</v>
      </c>
      <c r="F91" s="66" t="str">
        <f t="shared" si="4"/>
        <v>2 Hari</v>
      </c>
    </row>
    <row r="94" spans="2:11" x14ac:dyDescent="0.25">
      <c r="B94" s="6" t="s">
        <v>652</v>
      </c>
      <c r="C94" s="69" t="s">
        <v>612</v>
      </c>
      <c r="D94" s="69" t="s">
        <v>609</v>
      </c>
      <c r="E94" s="69" t="s">
        <v>613</v>
      </c>
      <c r="F94" s="69" t="s">
        <v>610</v>
      </c>
    </row>
    <row r="95" spans="2:11" x14ac:dyDescent="0.25">
      <c r="C95" s="66">
        <v>101</v>
      </c>
      <c r="D95" s="66" t="s">
        <v>614</v>
      </c>
      <c r="E95" s="66" t="s">
        <v>624</v>
      </c>
      <c r="F95" s="66" t="s">
        <v>261</v>
      </c>
    </row>
    <row r="96" spans="2:11" x14ac:dyDescent="0.25">
      <c r="C96" s="66">
        <v>102</v>
      </c>
      <c r="D96" s="66" t="s">
        <v>615</v>
      </c>
      <c r="E96" s="66" t="s">
        <v>625</v>
      </c>
      <c r="F96" s="66" t="s">
        <v>627</v>
      </c>
    </row>
    <row r="97" spans="3:7" x14ac:dyDescent="0.25">
      <c r="C97" s="66">
        <v>103</v>
      </c>
      <c r="D97" s="66" t="s">
        <v>616</v>
      </c>
      <c r="E97" s="66" t="s">
        <v>625</v>
      </c>
      <c r="F97" s="66" t="s">
        <v>259</v>
      </c>
    </row>
    <row r="98" spans="3:7" x14ac:dyDescent="0.25">
      <c r="C98" s="66">
        <v>104</v>
      </c>
      <c r="D98" s="66" t="s">
        <v>617</v>
      </c>
      <c r="E98" s="66" t="s">
        <v>624</v>
      </c>
      <c r="F98" s="66" t="s">
        <v>258</v>
      </c>
    </row>
    <row r="99" spans="3:7" x14ac:dyDescent="0.25">
      <c r="C99" s="66">
        <v>105</v>
      </c>
      <c r="D99" s="66" t="s">
        <v>618</v>
      </c>
      <c r="E99" s="66" t="s">
        <v>624</v>
      </c>
      <c r="F99" s="66" t="s">
        <v>259</v>
      </c>
    </row>
    <row r="100" spans="3:7" x14ac:dyDescent="0.25">
      <c r="C100" s="66">
        <v>106</v>
      </c>
      <c r="D100" s="66" t="s">
        <v>619</v>
      </c>
      <c r="E100" s="66" t="s">
        <v>624</v>
      </c>
      <c r="F100" s="66" t="s">
        <v>261</v>
      </c>
    </row>
    <row r="101" spans="3:7" x14ac:dyDescent="0.25">
      <c r="C101" s="66">
        <v>107</v>
      </c>
      <c r="D101" s="66" t="s">
        <v>620</v>
      </c>
      <c r="E101" s="66" t="s">
        <v>625</v>
      </c>
      <c r="F101" s="66" t="s">
        <v>627</v>
      </c>
    </row>
    <row r="102" spans="3:7" x14ac:dyDescent="0.25">
      <c r="C102" s="66">
        <v>108</v>
      </c>
      <c r="D102" s="66" t="s">
        <v>621</v>
      </c>
      <c r="E102" s="66" t="s">
        <v>624</v>
      </c>
      <c r="F102" s="66" t="s">
        <v>627</v>
      </c>
    </row>
    <row r="103" spans="3:7" x14ac:dyDescent="0.25">
      <c r="C103" s="66">
        <v>109</v>
      </c>
      <c r="D103" s="66" t="s">
        <v>622</v>
      </c>
      <c r="E103" s="66" t="s">
        <v>624</v>
      </c>
      <c r="F103" s="66" t="s">
        <v>258</v>
      </c>
    </row>
    <row r="104" spans="3:7" x14ac:dyDescent="0.25">
      <c r="C104" s="66">
        <v>110</v>
      </c>
      <c r="D104" s="66" t="s">
        <v>623</v>
      </c>
      <c r="E104" s="66" t="s">
        <v>625</v>
      </c>
      <c r="F104" s="66" t="s">
        <v>259</v>
      </c>
    </row>
    <row r="107" spans="3:7" x14ac:dyDescent="0.25">
      <c r="C107" s="69" t="s">
        <v>626</v>
      </c>
      <c r="D107" s="66" t="s">
        <v>258</v>
      </c>
      <c r="E107" s="66" t="s">
        <v>259</v>
      </c>
      <c r="F107" s="66" t="s">
        <v>627</v>
      </c>
      <c r="G107" s="66" t="s">
        <v>261</v>
      </c>
    </row>
    <row r="108" spans="3:7" x14ac:dyDescent="0.25">
      <c r="C108" s="69" t="s">
        <v>611</v>
      </c>
      <c r="D108" s="66" t="s">
        <v>628</v>
      </c>
      <c r="E108" s="66" t="s">
        <v>628</v>
      </c>
      <c r="F108" s="66" t="s">
        <v>629</v>
      </c>
      <c r="G108" s="66" t="s">
        <v>630</v>
      </c>
    </row>
    <row r="114" spans="2:11" ht="19.5" x14ac:dyDescent="0.3">
      <c r="B114" s="4" t="s">
        <v>220</v>
      </c>
      <c r="K114" s="59" t="s">
        <v>199</v>
      </c>
    </row>
    <row r="115" spans="2:11" ht="17.25" x14ac:dyDescent="0.3">
      <c r="C115" s="69" t="s">
        <v>71</v>
      </c>
      <c r="D115" s="69" t="s">
        <v>213</v>
      </c>
      <c r="E115" s="73" t="s">
        <v>116</v>
      </c>
      <c r="K115" s="59" t="s">
        <v>211</v>
      </c>
    </row>
    <row r="116" spans="2:11" ht="17.25" x14ac:dyDescent="0.3">
      <c r="C116" s="66" t="s">
        <v>214</v>
      </c>
      <c r="D116" s="66">
        <v>85</v>
      </c>
      <c r="E116" s="66">
        <f>_xlfn.XLOOKUP("budi",$C$116:$C$119,$D$116:$D$119,"Not Found")</f>
        <v>90</v>
      </c>
      <c r="K116" s="59" t="s">
        <v>212</v>
      </c>
    </row>
    <row r="117" spans="2:11" ht="17.25" x14ac:dyDescent="0.3">
      <c r="C117" s="66" t="s">
        <v>215</v>
      </c>
      <c r="D117" s="66">
        <v>90</v>
      </c>
      <c r="E117" s="66" t="str">
        <f>_xlfn.XLOOKUP("mia",$C$116:$C$119,$D$116:$D$119,"Not Found")</f>
        <v>Not Found</v>
      </c>
      <c r="K117" s="59" t="s">
        <v>218</v>
      </c>
    </row>
    <row r="118" spans="2:11" x14ac:dyDescent="0.25">
      <c r="C118" s="66" t="s">
        <v>216</v>
      </c>
      <c r="D118" s="66">
        <v>78</v>
      </c>
      <c r="E118" s="66">
        <f>_xlfn.XLOOKUP("citra",$C$116:$C$119,$D$116:$D$119,"Not Found")</f>
        <v>78</v>
      </c>
      <c r="K118" s="8" t="s">
        <v>219</v>
      </c>
    </row>
    <row r="119" spans="2:11" x14ac:dyDescent="0.25">
      <c r="C119" s="66" t="s">
        <v>217</v>
      </c>
      <c r="D119" s="66">
        <v>92</v>
      </c>
      <c r="E119" s="66" t="str">
        <f>_xlfn.XLOOKUP("seli",$C$116:$C$119,$D$116:$D$119,"Not Found")</f>
        <v>Not Found</v>
      </c>
      <c r="K119" s="7" t="s">
        <v>245</v>
      </c>
    </row>
    <row r="120" spans="2:11" x14ac:dyDescent="0.25">
      <c r="K120" s="7" t="s">
        <v>246</v>
      </c>
    </row>
    <row r="121" spans="2:11" x14ac:dyDescent="0.25">
      <c r="K121" s="7" t="s">
        <v>247</v>
      </c>
    </row>
    <row r="122" spans="2:11" x14ac:dyDescent="0.25">
      <c r="K122" s="7" t="s">
        <v>248</v>
      </c>
    </row>
    <row r="126" spans="2:11" ht="19.5" x14ac:dyDescent="0.3">
      <c r="B126" s="4" t="s">
        <v>60</v>
      </c>
      <c r="K126" s="17" t="s">
        <v>130</v>
      </c>
    </row>
    <row r="127" spans="2:11" x14ac:dyDescent="0.25">
      <c r="B127" s="14" t="s">
        <v>67</v>
      </c>
    </row>
    <row r="128" spans="2:11" x14ac:dyDescent="0.25">
      <c r="B128" s="14" t="s">
        <v>68</v>
      </c>
      <c r="C128" s="14" t="s">
        <v>61</v>
      </c>
      <c r="D128" s="14" t="s">
        <v>64</v>
      </c>
    </row>
    <row r="129" spans="3:11" x14ac:dyDescent="0.25">
      <c r="C129" s="14" t="s">
        <v>62</v>
      </c>
      <c r="D129" s="14" t="s">
        <v>65</v>
      </c>
    </row>
    <row r="130" spans="3:11" x14ac:dyDescent="0.25">
      <c r="C130" s="14" t="s">
        <v>85</v>
      </c>
      <c r="D130" s="65" t="s">
        <v>66</v>
      </c>
    </row>
    <row r="131" spans="3:11" x14ac:dyDescent="0.25">
      <c r="C131" s="64" t="s">
        <v>63</v>
      </c>
      <c r="D131" s="14" t="s">
        <v>598</v>
      </c>
    </row>
    <row r="135" spans="3:11" ht="15.75" x14ac:dyDescent="0.25">
      <c r="C135" s="12" t="s">
        <v>69</v>
      </c>
      <c r="K135" s="60" t="s">
        <v>70</v>
      </c>
    </row>
    <row r="136" spans="3:11" ht="15.75" x14ac:dyDescent="0.25">
      <c r="D136" s="69" t="s">
        <v>71</v>
      </c>
      <c r="E136" s="73" t="s">
        <v>27</v>
      </c>
      <c r="K136" s="60" t="s">
        <v>84</v>
      </c>
    </row>
    <row r="137" spans="3:11" x14ac:dyDescent="0.25">
      <c r="D137" s="66" t="s">
        <v>72</v>
      </c>
      <c r="E137" s="66" t="str" cm="1">
        <f t="array" ref="E137:E144">_xlfn.UNIQUE($D$137:$D$148)</f>
        <v xml:space="preserve">jungwon </v>
      </c>
      <c r="K137" s="62" t="s">
        <v>584</v>
      </c>
    </row>
    <row r="138" spans="3:11" x14ac:dyDescent="0.25">
      <c r="D138" s="66" t="s">
        <v>73</v>
      </c>
      <c r="E138" s="66" t="str">
        <v>heeseung</v>
      </c>
      <c r="K138" s="8" t="s">
        <v>219</v>
      </c>
    </row>
    <row r="139" spans="3:11" x14ac:dyDescent="0.25">
      <c r="D139" s="66" t="s">
        <v>74</v>
      </c>
      <c r="E139" s="66" t="str">
        <v>sunoo</v>
      </c>
      <c r="K139" s="8" t="s">
        <v>585</v>
      </c>
    </row>
    <row r="140" spans="3:11" x14ac:dyDescent="0.25">
      <c r="D140" s="66" t="s">
        <v>72</v>
      </c>
      <c r="E140" s="66" t="str">
        <v>niki</v>
      </c>
      <c r="K140" s="8" t="s">
        <v>586</v>
      </c>
    </row>
    <row r="141" spans="3:11" x14ac:dyDescent="0.25">
      <c r="D141" s="66" t="s">
        <v>75</v>
      </c>
      <c r="E141" s="66" t="str">
        <v>sunghoon</v>
      </c>
      <c r="K141" s="8" t="s">
        <v>587</v>
      </c>
    </row>
    <row r="142" spans="3:11" x14ac:dyDescent="0.25">
      <c r="D142" s="66" t="s">
        <v>76</v>
      </c>
      <c r="E142" s="66" t="str">
        <v>apple</v>
      </c>
    </row>
    <row r="143" spans="3:11" x14ac:dyDescent="0.25">
      <c r="D143" s="66" t="s">
        <v>73</v>
      </c>
      <c r="E143" s="66" t="str">
        <v>orange</v>
      </c>
    </row>
    <row r="144" spans="3:11" x14ac:dyDescent="0.25">
      <c r="D144" s="66" t="s">
        <v>76</v>
      </c>
      <c r="E144" s="66" t="str">
        <v xml:space="preserve">melon </v>
      </c>
    </row>
    <row r="145" spans="3:11" x14ac:dyDescent="0.25">
      <c r="D145" s="66" t="s">
        <v>10</v>
      </c>
      <c r="E145" s="66"/>
    </row>
    <row r="146" spans="3:11" x14ac:dyDescent="0.25">
      <c r="D146" s="66" t="s">
        <v>10</v>
      </c>
      <c r="E146" s="66"/>
    </row>
    <row r="147" spans="3:11" x14ac:dyDescent="0.25">
      <c r="D147" s="66" t="s">
        <v>77</v>
      </c>
      <c r="E147" s="66"/>
    </row>
    <row r="148" spans="3:11" x14ac:dyDescent="0.25">
      <c r="D148" s="66" t="s">
        <v>78</v>
      </c>
      <c r="E148" s="66"/>
    </row>
    <row r="151" spans="3:11" ht="15.75" x14ac:dyDescent="0.25">
      <c r="C151" s="12" t="s">
        <v>79</v>
      </c>
      <c r="K151" s="60" t="s">
        <v>80</v>
      </c>
    </row>
    <row r="152" spans="3:11" x14ac:dyDescent="0.25">
      <c r="D152" s="69" t="s">
        <v>81</v>
      </c>
      <c r="E152" s="73" t="s">
        <v>82</v>
      </c>
      <c r="F152" s="73" t="s">
        <v>83</v>
      </c>
      <c r="G152" s="6"/>
      <c r="H152" s="6"/>
      <c r="I152" s="6"/>
      <c r="K152" s="62" t="s">
        <v>123</v>
      </c>
    </row>
    <row r="153" spans="3:11" x14ac:dyDescent="0.25">
      <c r="D153" s="66">
        <v>12</v>
      </c>
      <c r="E153" s="66" cm="1">
        <f t="array" ref="E153:E159">_xlfn._xlws.SORT($D$153:$D$159)</f>
        <v>12</v>
      </c>
      <c r="F153" s="66" cm="1">
        <f t="array" ref="F153:F159">_xlfn._xlws.SORT($D$153:$D$159,,-1)</f>
        <v>2113</v>
      </c>
      <c r="K153" s="62" t="s">
        <v>124</v>
      </c>
    </row>
    <row r="154" spans="3:11" x14ac:dyDescent="0.25">
      <c r="D154" s="66">
        <v>34</v>
      </c>
      <c r="E154" s="66">
        <v>32</v>
      </c>
      <c r="F154" s="66">
        <v>43</v>
      </c>
      <c r="K154" s="62" t="s">
        <v>588</v>
      </c>
    </row>
    <row r="155" spans="3:11" x14ac:dyDescent="0.25">
      <c r="D155" s="66">
        <v>34</v>
      </c>
      <c r="E155" s="66">
        <v>34</v>
      </c>
      <c r="F155" s="66">
        <v>34</v>
      </c>
      <c r="K155" s="8" t="s">
        <v>53</v>
      </c>
    </row>
    <row r="156" spans="3:11" x14ac:dyDescent="0.25">
      <c r="D156" s="66">
        <v>32</v>
      </c>
      <c r="E156" s="66">
        <v>34</v>
      </c>
      <c r="F156" s="66">
        <v>34</v>
      </c>
      <c r="K156" s="8" t="s">
        <v>589</v>
      </c>
    </row>
    <row r="157" spans="3:11" x14ac:dyDescent="0.25">
      <c r="D157" s="66">
        <v>34</v>
      </c>
      <c r="E157" s="66">
        <v>34</v>
      </c>
      <c r="F157" s="66">
        <v>34</v>
      </c>
      <c r="K157" s="8" t="s">
        <v>590</v>
      </c>
    </row>
    <row r="158" spans="3:11" x14ac:dyDescent="0.25">
      <c r="D158" s="66">
        <v>2113</v>
      </c>
      <c r="E158" s="66">
        <v>43</v>
      </c>
      <c r="F158" s="66">
        <v>32</v>
      </c>
      <c r="K158" s="8" t="s">
        <v>591</v>
      </c>
    </row>
    <row r="159" spans="3:11" x14ac:dyDescent="0.25">
      <c r="D159" s="66">
        <v>43</v>
      </c>
      <c r="E159" s="66">
        <v>2113</v>
      </c>
      <c r="F159" s="66">
        <v>12</v>
      </c>
    </row>
    <row r="162" spans="3:11" ht="15.75" x14ac:dyDescent="0.25">
      <c r="C162" s="12" t="s">
        <v>86</v>
      </c>
      <c r="K162" s="60" t="s">
        <v>87</v>
      </c>
    </row>
    <row r="163" spans="3:11" ht="15.75" x14ac:dyDescent="0.25">
      <c r="D163" s="69" t="s">
        <v>71</v>
      </c>
      <c r="E163" s="69" t="s">
        <v>81</v>
      </c>
      <c r="F163" s="73" t="s">
        <v>88</v>
      </c>
      <c r="G163" s="73" t="s">
        <v>89</v>
      </c>
      <c r="H163" s="6"/>
      <c r="I163" s="6"/>
      <c r="K163" s="60" t="s">
        <v>92</v>
      </c>
    </row>
    <row r="164" spans="3:11" x14ac:dyDescent="0.25">
      <c r="D164" s="66" t="s">
        <v>72</v>
      </c>
      <c r="E164" s="66">
        <v>23</v>
      </c>
      <c r="F164" s="66" t="str" cm="1">
        <f t="array" ref="F164:F170">_xlfn.SORTBY($D$164:$D$170,$E$164:$E$170)</f>
        <v xml:space="preserve">jungwon </v>
      </c>
      <c r="G164" s="66" t="str" cm="1">
        <f t="array" ref="G164:G170">_xlfn.SORTBY($D$164:$D$170,$E$164:$E$170,-1)</f>
        <v>niki</v>
      </c>
      <c r="K164" s="62" t="s">
        <v>93</v>
      </c>
    </row>
    <row r="165" spans="3:11" x14ac:dyDescent="0.25">
      <c r="D165" s="66" t="s">
        <v>73</v>
      </c>
      <c r="E165" s="66">
        <v>23</v>
      </c>
      <c r="F165" s="66" t="str">
        <v>heeseung</v>
      </c>
      <c r="G165" s="66" t="str">
        <v>jake</v>
      </c>
      <c r="K165" s="62" t="s">
        <v>125</v>
      </c>
    </row>
    <row r="166" spans="3:11" x14ac:dyDescent="0.25">
      <c r="D166" s="66" t="s">
        <v>74</v>
      </c>
      <c r="E166" s="66">
        <v>53</v>
      </c>
      <c r="F166" s="66" t="str">
        <v>jay</v>
      </c>
      <c r="G166" s="66" t="str">
        <v>sunoo</v>
      </c>
    </row>
    <row r="167" spans="3:11" x14ac:dyDescent="0.25">
      <c r="D167" s="66" t="s">
        <v>90</v>
      </c>
      <c r="E167" s="66">
        <v>45</v>
      </c>
      <c r="F167" s="66" t="str">
        <v>sunghoon</v>
      </c>
      <c r="G167" s="66" t="str">
        <v>jay</v>
      </c>
    </row>
    <row r="168" spans="3:11" x14ac:dyDescent="0.25">
      <c r="D168" s="66" t="s">
        <v>75</v>
      </c>
      <c r="E168" s="66">
        <v>232</v>
      </c>
      <c r="F168" s="66" t="str">
        <v>sunoo</v>
      </c>
      <c r="G168" s="66" t="str">
        <v>sunghoon</v>
      </c>
    </row>
    <row r="169" spans="3:11" x14ac:dyDescent="0.25">
      <c r="D169" s="66" t="s">
        <v>76</v>
      </c>
      <c r="E169" s="66">
        <v>45</v>
      </c>
      <c r="F169" s="66" t="str">
        <v>jake</v>
      </c>
      <c r="G169" s="66" t="str">
        <v xml:space="preserve">jungwon </v>
      </c>
    </row>
    <row r="170" spans="3:11" x14ac:dyDescent="0.25">
      <c r="D170" s="66" t="s">
        <v>91</v>
      </c>
      <c r="E170" s="66">
        <v>222</v>
      </c>
      <c r="F170" s="66" t="str">
        <v>niki</v>
      </c>
      <c r="G170" s="66" t="str">
        <v>heeseung</v>
      </c>
    </row>
    <row r="173" spans="3:11" ht="15.75" x14ac:dyDescent="0.25">
      <c r="C173" s="12" t="s">
        <v>94</v>
      </c>
      <c r="K173" s="60" t="s">
        <v>95</v>
      </c>
    </row>
    <row r="174" spans="3:11" ht="15.75" x14ac:dyDescent="0.25">
      <c r="D174" s="77" t="s">
        <v>81</v>
      </c>
      <c r="E174" s="66"/>
      <c r="K174" s="60" t="s">
        <v>126</v>
      </c>
    </row>
    <row r="175" spans="3:11" x14ac:dyDescent="0.25">
      <c r="D175" s="66" cm="1">
        <f t="array" ref="D175:E179">_xlfn.SEQUENCE(5,2,1,20)</f>
        <v>1</v>
      </c>
      <c r="E175" s="71">
        <v>21</v>
      </c>
      <c r="K175" s="8" t="s">
        <v>53</v>
      </c>
    </row>
    <row r="176" spans="3:11" x14ac:dyDescent="0.25">
      <c r="D176" s="66">
        <v>41</v>
      </c>
      <c r="E176" s="66">
        <v>61</v>
      </c>
      <c r="K176" s="7" t="s">
        <v>96</v>
      </c>
    </row>
    <row r="177" spans="3:11" x14ac:dyDescent="0.25">
      <c r="D177" s="66">
        <v>81</v>
      </c>
      <c r="E177" s="66">
        <v>101</v>
      </c>
      <c r="K177" s="7" t="s">
        <v>97</v>
      </c>
    </row>
    <row r="178" spans="3:11" x14ac:dyDescent="0.25">
      <c r="D178" s="66">
        <v>121</v>
      </c>
      <c r="E178" s="66">
        <v>141</v>
      </c>
      <c r="K178" s="7" t="s">
        <v>99</v>
      </c>
    </row>
    <row r="179" spans="3:11" x14ac:dyDescent="0.25">
      <c r="D179" s="66">
        <v>161</v>
      </c>
      <c r="E179" s="66">
        <v>181</v>
      </c>
      <c r="K179" s="7" t="s">
        <v>98</v>
      </c>
    </row>
    <row r="181" spans="3:11" ht="15.75" x14ac:dyDescent="0.25">
      <c r="C181" s="6" t="s">
        <v>653</v>
      </c>
      <c r="D181" s="73" t="str" cm="1">
        <f t="array" aca="1" ref="D181:E181" ca="1">TEXT(DATE(YEAR(TODAY()),_xlfn.SEQUENCE(1,2),1),"mmm")</f>
        <v>Jan</v>
      </c>
      <c r="E181" s="73" t="str">
        <f ca="1"/>
        <v>Feb</v>
      </c>
      <c r="K181" s="18" t="s">
        <v>100</v>
      </c>
    </row>
    <row r="184" spans="3:11" ht="15.75" x14ac:dyDescent="0.25">
      <c r="C184" s="12" t="s">
        <v>101</v>
      </c>
      <c r="K184" s="60" t="s">
        <v>102</v>
      </c>
    </row>
    <row r="185" spans="3:11" ht="15.75" x14ac:dyDescent="0.25">
      <c r="D185" s="73" t="s">
        <v>81</v>
      </c>
      <c r="K185" s="60" t="s">
        <v>127</v>
      </c>
    </row>
    <row r="186" spans="3:11" x14ac:dyDescent="0.25">
      <c r="D186" s="66" cm="1">
        <f t="array" aca="1" ref="D186:E189" ca="1">_xlfn.RANDARRAY(4,2,10,20)</f>
        <v>13.603721641515474</v>
      </c>
      <c r="E186" s="66">
        <f ca="1"/>
        <v>14.344103912458003</v>
      </c>
      <c r="K186" s="7" t="s">
        <v>106</v>
      </c>
    </row>
    <row r="187" spans="3:11" x14ac:dyDescent="0.25">
      <c r="D187" s="66">
        <f ca="1"/>
        <v>10.566158881171951</v>
      </c>
      <c r="E187" s="66">
        <f ca="1"/>
        <v>14.048365639267598</v>
      </c>
      <c r="K187" s="7" t="s">
        <v>105</v>
      </c>
    </row>
    <row r="188" spans="3:11" x14ac:dyDescent="0.25">
      <c r="D188" s="66">
        <f ca="1"/>
        <v>18.358688275127815</v>
      </c>
      <c r="E188" s="66">
        <f ca="1"/>
        <v>18.439863463923722</v>
      </c>
      <c r="K188" s="7" t="s">
        <v>104</v>
      </c>
    </row>
    <row r="189" spans="3:11" x14ac:dyDescent="0.25">
      <c r="D189" s="66">
        <f ca="1"/>
        <v>17.688844475479641</v>
      </c>
      <c r="E189" s="66">
        <f ca="1"/>
        <v>19.414911467508336</v>
      </c>
      <c r="K189" s="7" t="s">
        <v>103</v>
      </c>
    </row>
    <row r="192" spans="3:11" ht="15.75" x14ac:dyDescent="0.25">
      <c r="C192" s="12" t="s">
        <v>107</v>
      </c>
      <c r="K192" s="60" t="s">
        <v>596</v>
      </c>
    </row>
    <row r="193" spans="3:11" ht="15.75" x14ac:dyDescent="0.25">
      <c r="D193" s="75" t="s">
        <v>108</v>
      </c>
      <c r="E193" s="73" t="s">
        <v>116</v>
      </c>
      <c r="K193" s="60" t="s">
        <v>597</v>
      </c>
    </row>
    <row r="194" spans="3:11" x14ac:dyDescent="0.25">
      <c r="D194" s="70">
        <v>559</v>
      </c>
      <c r="E194" s="66" cm="1">
        <f t="array" ref="E194:E198">_xlfn._xlws.FILTER($D$194:$D$201,$D$194:$D$201&gt;100)</f>
        <v>559</v>
      </c>
      <c r="K194" s="8" t="s">
        <v>53</v>
      </c>
    </row>
    <row r="195" spans="3:11" x14ac:dyDescent="0.25">
      <c r="D195" s="70">
        <v>122</v>
      </c>
      <c r="E195" s="66">
        <v>122</v>
      </c>
      <c r="K195" s="8" t="s">
        <v>592</v>
      </c>
    </row>
    <row r="196" spans="3:11" x14ac:dyDescent="0.25">
      <c r="D196" s="70">
        <v>43</v>
      </c>
      <c r="E196" s="66">
        <v>433</v>
      </c>
      <c r="K196" s="8" t="s">
        <v>593</v>
      </c>
    </row>
    <row r="197" spans="3:11" x14ac:dyDescent="0.25">
      <c r="D197" s="70">
        <v>34</v>
      </c>
      <c r="E197" s="66">
        <v>556</v>
      </c>
      <c r="K197" s="8" t="s">
        <v>594</v>
      </c>
    </row>
    <row r="198" spans="3:11" x14ac:dyDescent="0.25">
      <c r="D198" s="70">
        <v>6</v>
      </c>
      <c r="E198" s="66">
        <v>776</v>
      </c>
      <c r="K198" s="8" t="s">
        <v>606</v>
      </c>
    </row>
    <row r="199" spans="3:11" x14ac:dyDescent="0.25">
      <c r="D199" s="66">
        <v>433</v>
      </c>
      <c r="K199" s="8" t="s">
        <v>607</v>
      </c>
    </row>
    <row r="200" spans="3:11" x14ac:dyDescent="0.25">
      <c r="D200" s="66">
        <v>556</v>
      </c>
      <c r="K200" s="8" t="s">
        <v>595</v>
      </c>
    </row>
    <row r="201" spans="3:11" x14ac:dyDescent="0.25">
      <c r="D201" s="66">
        <v>776</v>
      </c>
    </row>
    <row r="204" spans="3:11" ht="15.75" x14ac:dyDescent="0.25">
      <c r="C204" s="12" t="s">
        <v>109</v>
      </c>
      <c r="K204" s="60" t="s">
        <v>110</v>
      </c>
    </row>
    <row r="205" spans="3:11" ht="15.75" x14ac:dyDescent="0.25">
      <c r="D205" s="69" t="s">
        <v>112</v>
      </c>
      <c r="E205" s="69" t="s">
        <v>113</v>
      </c>
      <c r="F205" s="69" t="s">
        <v>114</v>
      </c>
      <c r="G205" s="72" t="s">
        <v>115</v>
      </c>
      <c r="H205" s="73" t="s">
        <v>116</v>
      </c>
      <c r="I205" s="6"/>
      <c r="K205" s="60" t="s">
        <v>111</v>
      </c>
    </row>
    <row r="206" spans="3:11" ht="15.75" x14ac:dyDescent="0.25">
      <c r="D206" s="66">
        <v>1550</v>
      </c>
      <c r="E206" s="66" t="s">
        <v>117</v>
      </c>
      <c r="F206" s="66">
        <v>3000</v>
      </c>
      <c r="G206" s="70">
        <v>22</v>
      </c>
      <c r="H206" s="66" t="str">
        <f>LOOKUP(D209,$D$205:$D$210,$E$205:$E$210)</f>
        <v>chanel</v>
      </c>
      <c r="K206" s="60" t="s">
        <v>122</v>
      </c>
    </row>
    <row r="207" spans="3:11" x14ac:dyDescent="0.25">
      <c r="D207" s="66">
        <v>2230</v>
      </c>
      <c r="E207" s="66" t="s">
        <v>118</v>
      </c>
      <c r="F207" s="66">
        <v>2500</v>
      </c>
      <c r="G207" s="70">
        <v>34</v>
      </c>
      <c r="H207" s="66" t="str">
        <f>LOOKUP(D210,D205:D210,E205:E210)</f>
        <v>zara</v>
      </c>
      <c r="K207" s="8" t="s">
        <v>648</v>
      </c>
    </row>
    <row r="208" spans="3:11" x14ac:dyDescent="0.25">
      <c r="D208" s="66">
        <v>3254</v>
      </c>
      <c r="E208" s="66" t="s">
        <v>119</v>
      </c>
      <c r="F208" s="66">
        <v>2400</v>
      </c>
      <c r="G208" s="66">
        <v>56</v>
      </c>
      <c r="K208" s="8" t="s">
        <v>649</v>
      </c>
    </row>
    <row r="209" spans="3:11" x14ac:dyDescent="0.25">
      <c r="D209" s="66">
        <v>3232</v>
      </c>
      <c r="E209" s="66" t="s">
        <v>120</v>
      </c>
      <c r="F209" s="66">
        <v>5000</v>
      </c>
      <c r="G209" s="66">
        <v>232</v>
      </c>
      <c r="K209" s="8" t="s">
        <v>650</v>
      </c>
    </row>
    <row r="210" spans="3:11" x14ac:dyDescent="0.25">
      <c r="D210" s="66">
        <v>2345</v>
      </c>
      <c r="E210" s="66" t="s">
        <v>121</v>
      </c>
      <c r="F210" s="66">
        <v>6500</v>
      </c>
      <c r="G210" s="66">
        <v>400</v>
      </c>
    </row>
    <row r="215" spans="3:11" ht="15.75" x14ac:dyDescent="0.25">
      <c r="C215" s="12" t="s">
        <v>599</v>
      </c>
      <c r="K215" s="62" t="s">
        <v>600</v>
      </c>
    </row>
    <row r="216" spans="3:11" x14ac:dyDescent="0.25">
      <c r="D216" s="69" t="s">
        <v>71</v>
      </c>
      <c r="E216" s="73" t="s">
        <v>604</v>
      </c>
      <c r="K216" s="62" t="s">
        <v>601</v>
      </c>
    </row>
    <row r="217" spans="3:11" x14ac:dyDescent="0.25">
      <c r="D217" s="66" t="s">
        <v>72</v>
      </c>
      <c r="E217" s="66" t="str" cm="1">
        <f t="array" ref="E217:F217">TRANSPOSE(D217:D218)</f>
        <v xml:space="preserve">jungwon </v>
      </c>
      <c r="F217" s="66" t="str">
        <v>heeseung</v>
      </c>
      <c r="K217" s="8" t="s">
        <v>53</v>
      </c>
    </row>
    <row r="218" spans="3:11" x14ac:dyDescent="0.25">
      <c r="D218" s="66" t="s">
        <v>73</v>
      </c>
      <c r="K218" s="8" t="s">
        <v>602</v>
      </c>
    </row>
    <row r="220" spans="3:11" x14ac:dyDescent="0.25">
      <c r="D220" s="69" t="s">
        <v>71</v>
      </c>
      <c r="E220" s="69" t="s">
        <v>81</v>
      </c>
      <c r="F220" s="73" t="s">
        <v>605</v>
      </c>
    </row>
    <row r="221" spans="3:11" x14ac:dyDescent="0.25">
      <c r="D221" s="66" t="s">
        <v>603</v>
      </c>
      <c r="E221" s="66">
        <v>23</v>
      </c>
      <c r="F221" s="66" t="str" cm="1">
        <f t="array" ref="F221:F222">TRANSPOSE(D221:E221)</f>
        <v>jungwon</v>
      </c>
    </row>
    <row r="222" spans="3:11" x14ac:dyDescent="0.25">
      <c r="F222" s="66">
        <v>23</v>
      </c>
    </row>
    <row r="226" spans="2:11" ht="19.5" x14ac:dyDescent="0.3">
      <c r="B226" s="4" t="s">
        <v>128</v>
      </c>
      <c r="K226" s="59" t="s">
        <v>129</v>
      </c>
    </row>
    <row r="227" spans="2:11" ht="17.25" x14ac:dyDescent="0.3">
      <c r="C227" s="69" t="s">
        <v>131</v>
      </c>
      <c r="D227" s="69" t="s">
        <v>132</v>
      </c>
      <c r="E227" s="69" t="s">
        <v>133</v>
      </c>
      <c r="F227" s="69" t="s">
        <v>134</v>
      </c>
      <c r="G227" s="73" t="s">
        <v>27</v>
      </c>
      <c r="H227" s="6"/>
      <c r="I227" s="6"/>
      <c r="K227" s="59" t="s">
        <v>197</v>
      </c>
    </row>
    <row r="228" spans="2:11" x14ac:dyDescent="0.25">
      <c r="C228" s="66" t="s">
        <v>143</v>
      </c>
      <c r="D228" s="66" t="s">
        <v>133</v>
      </c>
      <c r="E228" s="66" cm="1">
        <f t="array" aca="1" ref="E228:E237" ca="1">_xlfn.RANDARRAY(10,1,1000,2500,TRUE)</f>
        <v>1385</v>
      </c>
      <c r="F228" s="66" t="str">
        <f t="shared" ref="F228:F237" ca="1" si="5">IF(E228&gt;=2000,"Active","Inactive")</f>
        <v>Inactive</v>
      </c>
      <c r="G228" s="66">
        <f>COUNTIF($D$227:$D$237,D230)</f>
        <v>3</v>
      </c>
      <c r="K228" s="8" t="s">
        <v>53</v>
      </c>
    </row>
    <row r="229" spans="2:11" x14ac:dyDescent="0.25">
      <c r="C229" s="66" t="s">
        <v>144</v>
      </c>
      <c r="D229" s="66" t="s">
        <v>153</v>
      </c>
      <c r="E229" s="66">
        <f ca="1"/>
        <v>1128</v>
      </c>
      <c r="F229" s="66" t="str">
        <f t="shared" ca="1" si="5"/>
        <v>Inactive</v>
      </c>
      <c r="G229" s="66"/>
      <c r="K229" s="8" t="s">
        <v>198</v>
      </c>
    </row>
    <row r="230" spans="2:11" x14ac:dyDescent="0.25">
      <c r="C230" s="66" t="s">
        <v>145</v>
      </c>
      <c r="D230" s="66" t="s">
        <v>154</v>
      </c>
      <c r="E230" s="66">
        <f ca="1"/>
        <v>2366</v>
      </c>
      <c r="F230" s="66" t="str">
        <f t="shared" ca="1" si="5"/>
        <v>Active</v>
      </c>
      <c r="G230" s="66"/>
      <c r="K230" s="8" t="s">
        <v>196</v>
      </c>
    </row>
    <row r="231" spans="2:11" x14ac:dyDescent="0.25">
      <c r="C231" s="66" t="s">
        <v>146</v>
      </c>
      <c r="D231" s="66" t="s">
        <v>155</v>
      </c>
      <c r="E231" s="66">
        <f ca="1"/>
        <v>2077</v>
      </c>
      <c r="F231" s="66" t="str">
        <f t="shared" ca="1" si="5"/>
        <v>Active</v>
      </c>
      <c r="G231" s="66"/>
    </row>
    <row r="232" spans="2:11" x14ac:dyDescent="0.25">
      <c r="C232" s="66" t="s">
        <v>147</v>
      </c>
      <c r="D232" s="66" t="s">
        <v>154</v>
      </c>
      <c r="E232" s="66">
        <f ca="1"/>
        <v>1425</v>
      </c>
      <c r="F232" s="66" t="str">
        <f t="shared" ca="1" si="5"/>
        <v>Inactive</v>
      </c>
      <c r="G232" s="66"/>
    </row>
    <row r="233" spans="2:11" x14ac:dyDescent="0.25">
      <c r="C233" s="66" t="s">
        <v>148</v>
      </c>
      <c r="D233" s="66" t="s">
        <v>133</v>
      </c>
      <c r="E233" s="66">
        <f ca="1"/>
        <v>2238</v>
      </c>
      <c r="F233" s="66" t="str">
        <f t="shared" ca="1" si="5"/>
        <v>Active</v>
      </c>
      <c r="G233" s="66"/>
    </row>
    <row r="234" spans="2:11" x14ac:dyDescent="0.25">
      <c r="C234" s="66" t="s">
        <v>149</v>
      </c>
      <c r="D234" s="66" t="s">
        <v>153</v>
      </c>
      <c r="E234" s="66">
        <f ca="1"/>
        <v>1072</v>
      </c>
      <c r="F234" s="66" t="str">
        <f t="shared" ca="1" si="5"/>
        <v>Inactive</v>
      </c>
      <c r="G234" s="66"/>
    </row>
    <row r="235" spans="2:11" x14ac:dyDescent="0.25">
      <c r="C235" s="66" t="s">
        <v>150</v>
      </c>
      <c r="D235" s="66" t="s">
        <v>133</v>
      </c>
      <c r="E235" s="66">
        <f ca="1"/>
        <v>1931</v>
      </c>
      <c r="F235" s="66" t="str">
        <f t="shared" ca="1" si="5"/>
        <v>Inactive</v>
      </c>
      <c r="G235" s="66"/>
    </row>
    <row r="236" spans="2:11" x14ac:dyDescent="0.25">
      <c r="C236" s="66" t="s">
        <v>151</v>
      </c>
      <c r="D236" s="66" t="s">
        <v>154</v>
      </c>
      <c r="E236" s="66">
        <f ca="1"/>
        <v>1952</v>
      </c>
      <c r="F236" s="66" t="str">
        <f t="shared" ca="1" si="5"/>
        <v>Inactive</v>
      </c>
      <c r="G236" s="66"/>
    </row>
    <row r="237" spans="2:11" x14ac:dyDescent="0.25">
      <c r="C237" s="66" t="s">
        <v>152</v>
      </c>
      <c r="D237" s="66" t="s">
        <v>155</v>
      </c>
      <c r="E237" s="66">
        <f ca="1"/>
        <v>1870</v>
      </c>
      <c r="F237" s="66" t="str">
        <f t="shared" ca="1" si="5"/>
        <v>Inactive</v>
      </c>
      <c r="G237" s="66"/>
    </row>
    <row r="239" spans="2:11" x14ac:dyDescent="0.25">
      <c r="E239" s="14" t="s">
        <v>135</v>
      </c>
      <c r="F239" s="14" t="s">
        <v>135</v>
      </c>
    </row>
    <row r="240" spans="2:11" x14ac:dyDescent="0.25">
      <c r="E240" s="14" t="s">
        <v>136</v>
      </c>
      <c r="F240" s="14" t="s">
        <v>156</v>
      </c>
    </row>
    <row r="241" spans="2:11" x14ac:dyDescent="0.25">
      <c r="E241" s="14" t="s">
        <v>137</v>
      </c>
      <c r="F241" s="14" t="s">
        <v>157</v>
      </c>
    </row>
    <row r="242" spans="2:11" x14ac:dyDescent="0.25">
      <c r="E242" s="14" t="s">
        <v>138</v>
      </c>
      <c r="F242" s="14" t="s">
        <v>141</v>
      </c>
    </row>
    <row r="243" spans="2:11" x14ac:dyDescent="0.25">
      <c r="E243" s="14"/>
      <c r="F243" s="14" t="s">
        <v>142</v>
      </c>
    </row>
    <row r="244" spans="2:11" x14ac:dyDescent="0.25">
      <c r="E244" s="14" t="s">
        <v>139</v>
      </c>
    </row>
    <row r="245" spans="2:11" x14ac:dyDescent="0.25">
      <c r="E245" s="14" t="s">
        <v>140</v>
      </c>
    </row>
    <row r="246" spans="2:11" x14ac:dyDescent="0.25">
      <c r="E246" s="15"/>
    </row>
    <row r="247" spans="2:11" x14ac:dyDescent="0.25">
      <c r="E247" s="14" t="s">
        <v>200</v>
      </c>
    </row>
    <row r="248" spans="2:11" x14ac:dyDescent="0.25">
      <c r="E248" s="14" t="s">
        <v>201</v>
      </c>
    </row>
    <row r="249" spans="2:11" x14ac:dyDescent="0.25">
      <c r="E249" s="6"/>
    </row>
    <row r="250" spans="2:11" x14ac:dyDescent="0.25">
      <c r="E250" s="6"/>
    </row>
    <row r="251" spans="2:11" x14ac:dyDescent="0.25">
      <c r="E251" s="6"/>
    </row>
    <row r="252" spans="2:11" x14ac:dyDescent="0.25">
      <c r="E252" s="6"/>
    </row>
    <row r="253" spans="2:11" ht="19.5" x14ac:dyDescent="0.3">
      <c r="B253" s="4" t="s">
        <v>158</v>
      </c>
      <c r="K253" s="59" t="s">
        <v>165</v>
      </c>
    </row>
    <row r="254" spans="2:11" ht="19.5" x14ac:dyDescent="0.3">
      <c r="B254" s="4" t="s">
        <v>159</v>
      </c>
      <c r="K254" s="59" t="s">
        <v>166</v>
      </c>
    </row>
    <row r="255" spans="2:11" ht="15.75" x14ac:dyDescent="0.25">
      <c r="C255" s="69" t="s">
        <v>160</v>
      </c>
      <c r="D255" s="69" t="s">
        <v>161</v>
      </c>
      <c r="E255" s="73" t="s">
        <v>27</v>
      </c>
      <c r="K255" s="10" t="s">
        <v>194</v>
      </c>
    </row>
    <row r="256" spans="2:11" x14ac:dyDescent="0.25">
      <c r="C256" s="66" t="s">
        <v>162</v>
      </c>
      <c r="D256" s="66">
        <v>68</v>
      </c>
      <c r="E256" s="73" t="s">
        <v>167</v>
      </c>
    </row>
    <row r="257" spans="2:11" x14ac:dyDescent="0.25">
      <c r="C257" s="66" t="s">
        <v>163</v>
      </c>
      <c r="D257" s="66">
        <v>98</v>
      </c>
      <c r="E257" s="66">
        <f xml:space="preserve"> COUNTIF(D256:D259,"&gt;70")-COUNTIF(D256:D259,"&gt;=100")</f>
        <v>1</v>
      </c>
    </row>
    <row r="258" spans="2:11" x14ac:dyDescent="0.25">
      <c r="C258" s="66" t="s">
        <v>164</v>
      </c>
      <c r="D258" s="66">
        <v>45</v>
      </c>
      <c r="E258" s="66"/>
    </row>
    <row r="259" spans="2:11" x14ac:dyDescent="0.25">
      <c r="C259" s="66" t="s">
        <v>150</v>
      </c>
      <c r="D259" s="66">
        <v>67</v>
      </c>
      <c r="E259" s="66"/>
    </row>
    <row r="262" spans="2:11" ht="19.5" x14ac:dyDescent="0.3">
      <c r="B262" s="4" t="s">
        <v>168</v>
      </c>
      <c r="K262" s="59" t="s">
        <v>171</v>
      </c>
    </row>
    <row r="263" spans="2:11" ht="17.25" x14ac:dyDescent="0.3">
      <c r="C263" s="69" t="s">
        <v>160</v>
      </c>
      <c r="D263" s="69" t="s">
        <v>161</v>
      </c>
      <c r="E263" s="73" t="s">
        <v>169</v>
      </c>
      <c r="K263" s="59" t="s">
        <v>172</v>
      </c>
    </row>
    <row r="264" spans="2:11" x14ac:dyDescent="0.25">
      <c r="C264" s="66" t="s">
        <v>162</v>
      </c>
      <c r="D264" s="66">
        <v>68</v>
      </c>
      <c r="E264" s="73" t="s">
        <v>170</v>
      </c>
    </row>
    <row r="265" spans="2:11" x14ac:dyDescent="0.25">
      <c r="C265" s="66" t="s">
        <v>163</v>
      </c>
      <c r="D265" s="66">
        <v>98</v>
      </c>
      <c r="E265" s="66">
        <f>COUNTIFS(D263:D267,"&gt;50",D263:D267,"&lt;=100")</f>
        <v>3</v>
      </c>
    </row>
    <row r="266" spans="2:11" x14ac:dyDescent="0.25">
      <c r="C266" s="66" t="s">
        <v>164</v>
      </c>
      <c r="D266" s="66">
        <v>45</v>
      </c>
      <c r="E266" s="66"/>
    </row>
    <row r="267" spans="2:11" x14ac:dyDescent="0.25">
      <c r="C267" s="66" t="s">
        <v>150</v>
      </c>
      <c r="D267" s="66">
        <v>67</v>
      </c>
      <c r="E267" s="66"/>
    </row>
    <row r="271" spans="2:11" ht="19.5" x14ac:dyDescent="0.3">
      <c r="B271" s="4" t="s">
        <v>173</v>
      </c>
      <c r="K271" s="59" t="s">
        <v>174</v>
      </c>
    </row>
    <row r="272" spans="2:11" ht="19.5" x14ac:dyDescent="0.3">
      <c r="B272" s="5"/>
      <c r="K272" s="61" t="s">
        <v>179</v>
      </c>
    </row>
    <row r="273" spans="2:11" ht="19.5" x14ac:dyDescent="0.3">
      <c r="B273" s="5"/>
      <c r="K273" s="61" t="s">
        <v>180</v>
      </c>
    </row>
    <row r="274" spans="2:11" ht="15.75" x14ac:dyDescent="0.25">
      <c r="C274" s="12" t="s">
        <v>176</v>
      </c>
      <c r="K274" s="8" t="s">
        <v>175</v>
      </c>
    </row>
    <row r="275" spans="2:11" x14ac:dyDescent="0.25">
      <c r="D275" s="69" t="s">
        <v>131</v>
      </c>
      <c r="E275" s="73" t="s">
        <v>116</v>
      </c>
      <c r="K275" s="8" t="s">
        <v>644</v>
      </c>
    </row>
    <row r="276" spans="2:11" x14ac:dyDescent="0.25">
      <c r="D276" s="66" t="s">
        <v>10</v>
      </c>
      <c r="E276" s="66">
        <f>MATCH("cherry",$D$276:$D$280,0)</f>
        <v>3</v>
      </c>
      <c r="K276" s="8" t="s">
        <v>645</v>
      </c>
    </row>
    <row r="277" spans="2:11" x14ac:dyDescent="0.25">
      <c r="D277" s="66" t="s">
        <v>11</v>
      </c>
      <c r="E277" s="66">
        <f>MATCH(D277,$D$276:$D$280,0)</f>
        <v>2</v>
      </c>
      <c r="K277" s="8" t="s">
        <v>646</v>
      </c>
    </row>
    <row r="278" spans="2:11" x14ac:dyDescent="0.25">
      <c r="D278" s="66" t="s">
        <v>12</v>
      </c>
      <c r="E278" s="66"/>
      <c r="K278" s="8" t="s">
        <v>647</v>
      </c>
    </row>
    <row r="279" spans="2:11" x14ac:dyDescent="0.25">
      <c r="D279" s="66" t="s">
        <v>177</v>
      </c>
      <c r="E279" s="66"/>
    </row>
    <row r="280" spans="2:11" x14ac:dyDescent="0.25">
      <c r="D280" s="66" t="s">
        <v>178</v>
      </c>
      <c r="E280" s="66"/>
    </row>
    <row r="283" spans="2:11" ht="15.75" x14ac:dyDescent="0.25">
      <c r="C283" s="12" t="s">
        <v>181</v>
      </c>
    </row>
    <row r="284" spans="2:11" ht="15.75" x14ac:dyDescent="0.25">
      <c r="C284" s="12" t="s">
        <v>182</v>
      </c>
      <c r="D284" s="69" t="s">
        <v>71</v>
      </c>
      <c r="E284" s="69" t="s">
        <v>9</v>
      </c>
      <c r="F284" s="73" t="s">
        <v>116</v>
      </c>
    </row>
    <row r="285" spans="2:11" x14ac:dyDescent="0.25">
      <c r="D285" s="66" t="s">
        <v>10</v>
      </c>
      <c r="E285" s="66">
        <v>10</v>
      </c>
      <c r="F285" s="66">
        <f>MATCH(35,$E$285:$E$289,1)</f>
        <v>3</v>
      </c>
    </row>
    <row r="286" spans="2:11" x14ac:dyDescent="0.25">
      <c r="D286" s="66" t="s">
        <v>11</v>
      </c>
      <c r="E286" s="66">
        <v>20</v>
      </c>
      <c r="F286" s="66"/>
    </row>
    <row r="287" spans="2:11" x14ac:dyDescent="0.25">
      <c r="D287" s="66" t="s">
        <v>12</v>
      </c>
      <c r="E287" s="66">
        <v>30</v>
      </c>
      <c r="F287" s="66"/>
    </row>
    <row r="288" spans="2:11" x14ac:dyDescent="0.25">
      <c r="D288" s="66" t="s">
        <v>177</v>
      </c>
      <c r="E288" s="66">
        <v>40</v>
      </c>
      <c r="F288" s="66"/>
    </row>
    <row r="289" spans="3:11" x14ac:dyDescent="0.25">
      <c r="D289" s="66" t="s">
        <v>178</v>
      </c>
      <c r="E289" s="66">
        <v>50</v>
      </c>
      <c r="F289" s="66"/>
    </row>
    <row r="292" spans="3:11" ht="15.75" x14ac:dyDescent="0.25">
      <c r="C292" s="12" t="s">
        <v>181</v>
      </c>
    </row>
    <row r="293" spans="3:11" ht="15.75" x14ac:dyDescent="0.25">
      <c r="C293" s="12" t="s">
        <v>183</v>
      </c>
      <c r="D293" s="69" t="s">
        <v>71</v>
      </c>
      <c r="E293" s="69" t="s">
        <v>9</v>
      </c>
      <c r="F293" s="73" t="s">
        <v>116</v>
      </c>
    </row>
    <row r="294" spans="3:11" x14ac:dyDescent="0.25">
      <c r="D294" s="66" t="s">
        <v>10</v>
      </c>
      <c r="E294" s="66">
        <v>10</v>
      </c>
      <c r="F294" s="66" t="e">
        <f>MATCH(40,$E$294:$E$298,-1)</f>
        <v>#N/A</v>
      </c>
    </row>
    <row r="295" spans="3:11" x14ac:dyDescent="0.25">
      <c r="D295" s="66" t="s">
        <v>11</v>
      </c>
      <c r="E295" s="66">
        <v>20</v>
      </c>
      <c r="F295" s="66"/>
    </row>
    <row r="296" spans="3:11" x14ac:dyDescent="0.25">
      <c r="D296" s="66" t="s">
        <v>12</v>
      </c>
      <c r="E296" s="66">
        <v>30</v>
      </c>
      <c r="F296" s="15" t="s">
        <v>635</v>
      </c>
    </row>
    <row r="297" spans="3:11" x14ac:dyDescent="0.25">
      <c r="D297" s="66" t="s">
        <v>177</v>
      </c>
      <c r="E297" s="66">
        <v>40</v>
      </c>
      <c r="F297" s="66"/>
    </row>
    <row r="298" spans="3:11" x14ac:dyDescent="0.25">
      <c r="D298" s="66" t="s">
        <v>178</v>
      </c>
      <c r="E298" s="66">
        <v>50</v>
      </c>
      <c r="F298" s="66"/>
    </row>
    <row r="301" spans="3:11" ht="15.75" x14ac:dyDescent="0.25">
      <c r="C301" s="12" t="s">
        <v>184</v>
      </c>
      <c r="K301" s="60" t="s">
        <v>187</v>
      </c>
    </row>
    <row r="302" spans="3:11" ht="15.75" x14ac:dyDescent="0.25">
      <c r="D302" s="69" t="s">
        <v>71</v>
      </c>
      <c r="E302" s="69" t="s">
        <v>185</v>
      </c>
      <c r="F302" s="73" t="s">
        <v>186</v>
      </c>
      <c r="K302" s="60" t="s">
        <v>188</v>
      </c>
    </row>
    <row r="303" spans="3:11" x14ac:dyDescent="0.25">
      <c r="D303" s="66" t="s">
        <v>10</v>
      </c>
      <c r="E303" s="66">
        <v>1.2</v>
      </c>
      <c r="F303" s="66">
        <f>INDEX(E303:E307,MATCH("cherry",$D$303:$D$307,0))</f>
        <v>2.5</v>
      </c>
      <c r="K303" s="8" t="s">
        <v>638</v>
      </c>
    </row>
    <row r="304" spans="3:11" x14ac:dyDescent="0.25">
      <c r="D304" s="66" t="s">
        <v>11</v>
      </c>
      <c r="E304" s="66">
        <v>0.8</v>
      </c>
      <c r="F304" s="66"/>
      <c r="K304" s="8" t="s">
        <v>639</v>
      </c>
    </row>
    <row r="305" spans="3:11" x14ac:dyDescent="0.25">
      <c r="D305" s="66" t="s">
        <v>12</v>
      </c>
      <c r="E305" s="66">
        <v>2.5</v>
      </c>
      <c r="F305" s="66"/>
      <c r="K305" s="8" t="s">
        <v>640</v>
      </c>
    </row>
    <row r="306" spans="3:11" x14ac:dyDescent="0.25">
      <c r="D306" s="66" t="s">
        <v>177</v>
      </c>
      <c r="E306" s="66">
        <v>3</v>
      </c>
      <c r="F306" s="66"/>
      <c r="K306" s="8" t="s">
        <v>641</v>
      </c>
    </row>
    <row r="307" spans="3:11" x14ac:dyDescent="0.25">
      <c r="D307" s="66" t="s">
        <v>178</v>
      </c>
      <c r="E307" s="66">
        <v>4.0999999999999996</v>
      </c>
      <c r="F307" s="66"/>
      <c r="K307" s="8" t="s">
        <v>642</v>
      </c>
    </row>
    <row r="308" spans="3:11" x14ac:dyDescent="0.25">
      <c r="K308" s="8" t="s">
        <v>643</v>
      </c>
    </row>
    <row r="313" spans="3:11" ht="15.75" x14ac:dyDescent="0.25">
      <c r="C313" s="12" t="s">
        <v>189</v>
      </c>
    </row>
    <row r="314" spans="3:11" ht="15.75" x14ac:dyDescent="0.25">
      <c r="C314" s="12" t="s">
        <v>192</v>
      </c>
      <c r="K314" s="60" t="s">
        <v>191</v>
      </c>
    </row>
    <row r="315" spans="3:11" ht="15.75" x14ac:dyDescent="0.25">
      <c r="C315" s="12" t="s">
        <v>193</v>
      </c>
      <c r="D315" s="69" t="s">
        <v>71</v>
      </c>
      <c r="E315" s="69" t="s">
        <v>185</v>
      </c>
      <c r="F315" s="73" t="s">
        <v>116</v>
      </c>
      <c r="K315" s="60" t="s">
        <v>190</v>
      </c>
    </row>
    <row r="316" spans="3:11" x14ac:dyDescent="0.25">
      <c r="D316" s="66" t="s">
        <v>10</v>
      </c>
      <c r="E316" s="66">
        <v>1.2</v>
      </c>
      <c r="F316" s="66" t="str">
        <f>IFERROR(MATCH("pinapple",$D$316:$D$320,0),"NOT FOUND")</f>
        <v>NOT FOUND</v>
      </c>
    </row>
    <row r="317" spans="3:11" x14ac:dyDescent="0.25">
      <c r="D317" s="66" t="s">
        <v>11</v>
      </c>
      <c r="E317" s="66">
        <v>0.8</v>
      </c>
      <c r="F317" s="66"/>
    </row>
    <row r="318" spans="3:11" x14ac:dyDescent="0.25">
      <c r="D318" s="66" t="s">
        <v>12</v>
      </c>
      <c r="E318" s="66">
        <v>2.5</v>
      </c>
      <c r="F318" s="66"/>
    </row>
    <row r="319" spans="3:11" x14ac:dyDescent="0.25">
      <c r="D319" s="66" t="s">
        <v>177</v>
      </c>
      <c r="E319" s="66">
        <v>3</v>
      </c>
      <c r="F319" s="66"/>
    </row>
    <row r="320" spans="3:11" x14ac:dyDescent="0.25">
      <c r="D320" s="66" t="s">
        <v>178</v>
      </c>
      <c r="E320" s="66">
        <v>4.0999999999999996</v>
      </c>
      <c r="F320" s="66"/>
    </row>
    <row r="324" spans="2:11" ht="19.5" x14ac:dyDescent="0.3">
      <c r="B324" s="4" t="s">
        <v>234</v>
      </c>
    </row>
    <row r="325" spans="2:11" x14ac:dyDescent="0.25">
      <c r="C325" s="69" t="s">
        <v>131</v>
      </c>
      <c r="D325" s="69" t="s">
        <v>221</v>
      </c>
      <c r="E325" s="76" t="s">
        <v>235</v>
      </c>
    </row>
    <row r="326" spans="2:11" ht="15.75" x14ac:dyDescent="0.25">
      <c r="C326" s="66" t="s">
        <v>222</v>
      </c>
      <c r="D326" s="66" cm="1">
        <f t="array" aca="1" ref="D326:D338" ca="1">_xlfn.RANDARRAY(13,1,300,600,TRUE)</f>
        <v>324</v>
      </c>
      <c r="E326" s="2">
        <f ca="1">_xlfn.STDEV.P(_xlfn.ANCHORARRAY(D326))</f>
        <v>80.778387759313958</v>
      </c>
      <c r="K326" s="60" t="s">
        <v>236</v>
      </c>
    </row>
    <row r="327" spans="2:11" ht="15.75" x14ac:dyDescent="0.25">
      <c r="C327" s="66" t="s">
        <v>223</v>
      </c>
      <c r="D327" s="66">
        <f ca="1"/>
        <v>581</v>
      </c>
      <c r="K327" s="60" t="s">
        <v>238</v>
      </c>
    </row>
    <row r="328" spans="2:11" x14ac:dyDescent="0.25">
      <c r="C328" s="66" t="s">
        <v>224</v>
      </c>
      <c r="D328" s="66">
        <f ca="1"/>
        <v>475</v>
      </c>
    </row>
    <row r="329" spans="2:11" x14ac:dyDescent="0.25">
      <c r="C329" s="66" t="s">
        <v>225</v>
      </c>
      <c r="D329" s="66">
        <f ca="1"/>
        <v>414</v>
      </c>
    </row>
    <row r="330" spans="2:11" x14ac:dyDescent="0.25">
      <c r="C330" s="66" t="s">
        <v>150</v>
      </c>
      <c r="D330" s="66">
        <f ca="1"/>
        <v>598</v>
      </c>
      <c r="E330" s="76" t="s">
        <v>237</v>
      </c>
    </row>
    <row r="331" spans="2:11" ht="15.75" x14ac:dyDescent="0.25">
      <c r="C331" s="66" t="s">
        <v>226</v>
      </c>
      <c r="D331" s="66">
        <f ca="1"/>
        <v>313</v>
      </c>
      <c r="E331" s="2">
        <f ca="1">_xlfn.STDEV.S(_xlfn.ANCHORARRAY(D326))</f>
        <v>84.07681164512752</v>
      </c>
      <c r="K331" s="60" t="s">
        <v>239</v>
      </c>
    </row>
    <row r="332" spans="2:11" ht="15.75" x14ac:dyDescent="0.25">
      <c r="C332" s="66" t="s">
        <v>227</v>
      </c>
      <c r="D332" s="66">
        <f ca="1"/>
        <v>394</v>
      </c>
      <c r="K332" s="60" t="s">
        <v>240</v>
      </c>
    </row>
    <row r="333" spans="2:11" x14ac:dyDescent="0.25">
      <c r="C333" s="66" t="s">
        <v>228</v>
      </c>
      <c r="D333" s="66">
        <f ca="1"/>
        <v>403</v>
      </c>
    </row>
    <row r="334" spans="2:11" x14ac:dyDescent="0.25">
      <c r="C334" s="66" t="s">
        <v>229</v>
      </c>
      <c r="D334" s="66">
        <f ca="1"/>
        <v>428</v>
      </c>
    </row>
    <row r="335" spans="2:11" x14ac:dyDescent="0.25">
      <c r="C335" s="66" t="s">
        <v>230</v>
      </c>
      <c r="D335" s="66">
        <f ca="1"/>
        <v>369</v>
      </c>
    </row>
    <row r="336" spans="2:11" x14ac:dyDescent="0.25">
      <c r="C336" s="66" t="s">
        <v>231</v>
      </c>
      <c r="D336" s="66">
        <f ca="1"/>
        <v>435</v>
      </c>
    </row>
    <row r="337" spans="2:11" x14ac:dyDescent="0.25">
      <c r="C337" s="66" t="s">
        <v>232</v>
      </c>
      <c r="D337" s="66">
        <f ca="1"/>
        <v>414</v>
      </c>
    </row>
    <row r="338" spans="2:11" x14ac:dyDescent="0.25">
      <c r="C338" s="66" t="s">
        <v>233</v>
      </c>
      <c r="D338" s="66">
        <f ca="1"/>
        <v>404</v>
      </c>
    </row>
    <row r="340" spans="2:11" x14ac:dyDescent="0.25">
      <c r="C340" s="2">
        <f>COUNTA(C326:C338)</f>
        <v>13</v>
      </c>
    </row>
    <row r="345" spans="2:11" ht="19.5" x14ac:dyDescent="0.3">
      <c r="B345" s="4" t="s">
        <v>350</v>
      </c>
      <c r="K345" s="55" t="s">
        <v>351</v>
      </c>
    </row>
    <row r="346" spans="2:11" x14ac:dyDescent="0.25">
      <c r="C346" s="69" t="s">
        <v>71</v>
      </c>
      <c r="D346" s="69" t="s">
        <v>353</v>
      </c>
      <c r="E346" s="69" t="s">
        <v>354</v>
      </c>
      <c r="F346" s="69" t="s">
        <v>355</v>
      </c>
      <c r="G346" s="69" t="s">
        <v>356</v>
      </c>
      <c r="H346" s="6"/>
      <c r="I346" s="6"/>
    </row>
    <row r="347" spans="2:11" x14ac:dyDescent="0.25">
      <c r="C347" s="66" t="s">
        <v>357</v>
      </c>
      <c r="D347" s="66">
        <v>45</v>
      </c>
      <c r="E347" s="66">
        <v>49</v>
      </c>
      <c r="F347" s="66">
        <v>49</v>
      </c>
      <c r="G347" s="66">
        <v>45</v>
      </c>
    </row>
    <row r="348" spans="2:11" x14ac:dyDescent="0.25">
      <c r="C348" s="66" t="s">
        <v>358</v>
      </c>
      <c r="D348" s="66">
        <v>39</v>
      </c>
      <c r="E348" s="66">
        <v>52</v>
      </c>
      <c r="F348" s="66">
        <v>43</v>
      </c>
      <c r="G348" s="66">
        <v>65</v>
      </c>
    </row>
    <row r="349" spans="2:11" x14ac:dyDescent="0.25">
      <c r="C349" s="66" t="s">
        <v>359</v>
      </c>
      <c r="D349" s="66">
        <v>44</v>
      </c>
      <c r="E349" s="66">
        <v>48</v>
      </c>
      <c r="F349" s="66">
        <v>65</v>
      </c>
      <c r="G349" s="66">
        <v>43</v>
      </c>
    </row>
    <row r="368" spans="3:11" ht="15.75" x14ac:dyDescent="0.25">
      <c r="C368" s="12" t="s">
        <v>360</v>
      </c>
      <c r="K368" s="19" t="s">
        <v>361</v>
      </c>
    </row>
    <row r="369" spans="4:11" x14ac:dyDescent="0.25">
      <c r="D369" s="69" t="s">
        <v>362</v>
      </c>
      <c r="E369" s="69" t="s">
        <v>363</v>
      </c>
      <c r="F369" s="69" t="s">
        <v>364</v>
      </c>
      <c r="K369" s="8" t="s">
        <v>370</v>
      </c>
    </row>
    <row r="370" spans="4:11" x14ac:dyDescent="0.25">
      <c r="D370" s="66" t="s">
        <v>365</v>
      </c>
      <c r="E370" s="66">
        <v>12</v>
      </c>
      <c r="F370" s="66">
        <v>9</v>
      </c>
      <c r="K370" s="8" t="s">
        <v>369</v>
      </c>
    </row>
    <row r="371" spans="4:11" x14ac:dyDescent="0.25">
      <c r="D371" s="66" t="s">
        <v>366</v>
      </c>
      <c r="E371" s="66">
        <v>12</v>
      </c>
      <c r="F371" s="66">
        <v>8</v>
      </c>
      <c r="K371" s="8" t="s">
        <v>387</v>
      </c>
    </row>
    <row r="372" spans="4:11" x14ac:dyDescent="0.25">
      <c r="D372" s="66" t="s">
        <v>367</v>
      </c>
      <c r="E372" s="66">
        <v>30</v>
      </c>
      <c r="F372" s="66">
        <v>18</v>
      </c>
    </row>
    <row r="373" spans="4:11" x14ac:dyDescent="0.25">
      <c r="D373" s="66" t="s">
        <v>368</v>
      </c>
      <c r="E373" s="66">
        <v>13</v>
      </c>
      <c r="F373" s="66">
        <v>10</v>
      </c>
    </row>
    <row r="374" spans="4:11" x14ac:dyDescent="0.25">
      <c r="D374" s="2" t="s">
        <v>352</v>
      </c>
      <c r="K374" s="8" t="s">
        <v>371</v>
      </c>
    </row>
    <row r="375" spans="4:11" x14ac:dyDescent="0.25">
      <c r="K375" s="8" t="s">
        <v>372</v>
      </c>
    </row>
    <row r="376" spans="4:11" x14ac:dyDescent="0.25">
      <c r="K376" s="8" t="s">
        <v>387</v>
      </c>
    </row>
    <row r="389" spans="3:11" ht="15.75" x14ac:dyDescent="0.25">
      <c r="C389" s="12" t="s">
        <v>373</v>
      </c>
      <c r="K389" s="19" t="s">
        <v>383</v>
      </c>
    </row>
    <row r="390" spans="3:11" x14ac:dyDescent="0.25">
      <c r="D390" s="69" t="s">
        <v>362</v>
      </c>
      <c r="E390" s="69" t="s">
        <v>363</v>
      </c>
      <c r="F390" s="69" t="s">
        <v>364</v>
      </c>
      <c r="K390" s="8" t="s">
        <v>219</v>
      </c>
    </row>
    <row r="391" spans="3:11" x14ac:dyDescent="0.25">
      <c r="D391" s="66" t="s">
        <v>365</v>
      </c>
      <c r="E391" s="66">
        <v>12</v>
      </c>
      <c r="F391" s="66">
        <v>9</v>
      </c>
      <c r="K391" s="8" t="s">
        <v>374</v>
      </c>
    </row>
    <row r="392" spans="3:11" x14ac:dyDescent="0.25">
      <c r="D392" s="66" t="s">
        <v>366</v>
      </c>
      <c r="E392" s="66">
        <v>12</v>
      </c>
      <c r="F392" s="66">
        <v>8</v>
      </c>
      <c r="K392" s="8" t="s">
        <v>386</v>
      </c>
    </row>
    <row r="393" spans="3:11" x14ac:dyDescent="0.25">
      <c r="D393" s="66" t="s">
        <v>367</v>
      </c>
      <c r="E393" s="66">
        <v>30</v>
      </c>
      <c r="F393" s="66">
        <v>18</v>
      </c>
      <c r="K393" s="8"/>
    </row>
    <row r="394" spans="3:11" x14ac:dyDescent="0.25">
      <c r="D394" s="66" t="s">
        <v>368</v>
      </c>
      <c r="E394" s="66">
        <v>13</v>
      </c>
      <c r="F394" s="66">
        <v>10</v>
      </c>
      <c r="K394" s="57" t="s">
        <v>375</v>
      </c>
    </row>
    <row r="395" spans="3:11" x14ac:dyDescent="0.25">
      <c r="D395"/>
      <c r="K395" s="57" t="s">
        <v>376</v>
      </c>
    </row>
    <row r="396" spans="3:11" ht="26.25" x14ac:dyDescent="0.25">
      <c r="D396" s="49"/>
    </row>
    <row r="397" spans="3:11" x14ac:dyDescent="0.25">
      <c r="D397"/>
    </row>
    <row r="398" spans="3:11" ht="17.25" x14ac:dyDescent="0.25">
      <c r="D398" s="47"/>
    </row>
    <row r="409" spans="3:11" ht="15.75" x14ac:dyDescent="0.25">
      <c r="C409" s="12" t="s">
        <v>377</v>
      </c>
      <c r="K409" s="62" t="s">
        <v>378</v>
      </c>
    </row>
    <row r="410" spans="3:11" x14ac:dyDescent="0.25">
      <c r="K410" s="62" t="s">
        <v>379</v>
      </c>
    </row>
    <row r="411" spans="3:11" x14ac:dyDescent="0.25">
      <c r="K411" s="8"/>
    </row>
    <row r="412" spans="3:11" x14ac:dyDescent="0.25">
      <c r="D412" s="54" t="s">
        <v>380</v>
      </c>
      <c r="K412" s="56" t="s">
        <v>381</v>
      </c>
    </row>
    <row r="413" spans="3:11" x14ac:dyDescent="0.25">
      <c r="E413" s="69" t="s">
        <v>362</v>
      </c>
      <c r="F413" s="69" t="s">
        <v>363</v>
      </c>
      <c r="G413" s="69" t="s">
        <v>364</v>
      </c>
      <c r="K413" s="8" t="s">
        <v>370</v>
      </c>
    </row>
    <row r="414" spans="3:11" x14ac:dyDescent="0.25">
      <c r="E414" s="66" t="s">
        <v>365</v>
      </c>
      <c r="F414" s="66">
        <v>12</v>
      </c>
      <c r="G414" s="66">
        <v>9</v>
      </c>
      <c r="K414" s="8" t="s">
        <v>388</v>
      </c>
    </row>
    <row r="415" spans="3:11" x14ac:dyDescent="0.25">
      <c r="E415" s="66" t="s">
        <v>366</v>
      </c>
      <c r="F415" s="66">
        <v>12</v>
      </c>
      <c r="G415" s="66">
        <v>8</v>
      </c>
      <c r="K415" s="8" t="s">
        <v>385</v>
      </c>
    </row>
    <row r="416" spans="3:11" x14ac:dyDescent="0.25">
      <c r="E416" s="66" t="s">
        <v>367</v>
      </c>
      <c r="F416" s="66">
        <v>30</v>
      </c>
      <c r="G416" s="66">
        <v>18</v>
      </c>
      <c r="K416" s="8"/>
    </row>
    <row r="417" spans="5:11" x14ac:dyDescent="0.25">
      <c r="E417" s="66" t="s">
        <v>368</v>
      </c>
      <c r="F417" s="66">
        <v>13</v>
      </c>
      <c r="G417" s="66">
        <v>10</v>
      </c>
      <c r="K417" s="8"/>
    </row>
    <row r="418" spans="5:11" x14ac:dyDescent="0.25">
      <c r="E418" s="2" t="s">
        <v>352</v>
      </c>
      <c r="K418" s="8" t="s">
        <v>371</v>
      </c>
    </row>
    <row r="419" spans="5:11" x14ac:dyDescent="0.25">
      <c r="K419" s="8" t="s">
        <v>388</v>
      </c>
    </row>
    <row r="420" spans="5:11" x14ac:dyDescent="0.25">
      <c r="K420" s="8" t="s">
        <v>385</v>
      </c>
    </row>
    <row r="434" spans="4:11" x14ac:dyDescent="0.25">
      <c r="D434" s="54" t="s">
        <v>382</v>
      </c>
      <c r="K434" s="56" t="s">
        <v>384</v>
      </c>
    </row>
    <row r="435" spans="4:11" x14ac:dyDescent="0.25">
      <c r="E435" s="69" t="s">
        <v>362</v>
      </c>
      <c r="F435" s="69" t="s">
        <v>363</v>
      </c>
      <c r="G435" s="69" t="s">
        <v>364</v>
      </c>
      <c r="K435" s="8" t="s">
        <v>53</v>
      </c>
    </row>
    <row r="436" spans="4:11" x14ac:dyDescent="0.25">
      <c r="E436" s="66" t="s">
        <v>365</v>
      </c>
      <c r="F436" s="66">
        <v>12</v>
      </c>
      <c r="G436" s="66">
        <v>9</v>
      </c>
      <c r="K436" s="8" t="s">
        <v>389</v>
      </c>
    </row>
    <row r="437" spans="4:11" x14ac:dyDescent="0.25">
      <c r="E437" s="66" t="s">
        <v>366</v>
      </c>
      <c r="F437" s="66">
        <v>12</v>
      </c>
      <c r="G437" s="66">
        <v>8</v>
      </c>
      <c r="K437" s="8" t="s">
        <v>390</v>
      </c>
    </row>
    <row r="438" spans="4:11" x14ac:dyDescent="0.25">
      <c r="E438" s="66" t="s">
        <v>367</v>
      </c>
      <c r="F438" s="66">
        <v>30</v>
      </c>
      <c r="G438" s="66">
        <v>18</v>
      </c>
      <c r="K438" s="8"/>
    </row>
    <row r="439" spans="4:11" x14ac:dyDescent="0.25">
      <c r="E439" s="66" t="s">
        <v>368</v>
      </c>
      <c r="F439" s="66">
        <v>13</v>
      </c>
      <c r="G439" s="66">
        <v>10</v>
      </c>
      <c r="K439" s="8" t="s">
        <v>391</v>
      </c>
    </row>
    <row r="440" spans="4:11" x14ac:dyDescent="0.25">
      <c r="E440" s="2" t="s">
        <v>352</v>
      </c>
      <c r="K440" s="8" t="s">
        <v>376</v>
      </c>
    </row>
    <row r="441" spans="4:11" x14ac:dyDescent="0.25">
      <c r="K441" s="8" t="s">
        <v>392</v>
      </c>
    </row>
    <row r="454" spans="4:11" x14ac:dyDescent="0.25">
      <c r="D454" s="54" t="s">
        <v>393</v>
      </c>
      <c r="K454" s="63" t="s">
        <v>394</v>
      </c>
    </row>
    <row r="455" spans="4:11" x14ac:dyDescent="0.25">
      <c r="E455" s="78" t="s">
        <v>396</v>
      </c>
      <c r="F455" s="78" t="s">
        <v>397</v>
      </c>
      <c r="G455" s="78" t="s">
        <v>398</v>
      </c>
      <c r="H455" s="78" t="s">
        <v>399</v>
      </c>
      <c r="I455" s="50"/>
      <c r="K455" s="63" t="s">
        <v>395</v>
      </c>
    </row>
    <row r="456" spans="4:11" x14ac:dyDescent="0.25">
      <c r="E456" s="79" t="s">
        <v>400</v>
      </c>
      <c r="F456" s="79">
        <v>40</v>
      </c>
      <c r="G456" s="79">
        <v>35</v>
      </c>
      <c r="H456" s="79">
        <v>25</v>
      </c>
      <c r="I456" s="48"/>
      <c r="K456" s="8"/>
    </row>
    <row r="457" spans="4:11" x14ac:dyDescent="0.25">
      <c r="E457" s="79" t="s">
        <v>401</v>
      </c>
      <c r="F457" s="79">
        <v>30</v>
      </c>
      <c r="G457" s="79">
        <v>45</v>
      </c>
      <c r="H457" s="79">
        <v>25</v>
      </c>
      <c r="I457" s="48"/>
      <c r="K457" s="8" t="s">
        <v>53</v>
      </c>
    </row>
    <row r="458" spans="4:11" x14ac:dyDescent="0.25">
      <c r="E458" s="79" t="s">
        <v>402</v>
      </c>
      <c r="F458" s="79">
        <v>50</v>
      </c>
      <c r="G458" s="79">
        <v>30</v>
      </c>
      <c r="H458" s="79">
        <v>20</v>
      </c>
      <c r="I458" s="48"/>
      <c r="K458" s="8" t="s">
        <v>404</v>
      </c>
    </row>
    <row r="459" spans="4:11" x14ac:dyDescent="0.25">
      <c r="E459" s="79" t="s">
        <v>403</v>
      </c>
      <c r="F459" s="79">
        <v>20</v>
      </c>
      <c r="G459" s="79">
        <v>50</v>
      </c>
      <c r="H459" s="79">
        <v>30</v>
      </c>
      <c r="I459" s="48"/>
      <c r="K459" s="8" t="s">
        <v>405</v>
      </c>
    </row>
    <row r="460" spans="4:11" x14ac:dyDescent="0.25">
      <c r="K460" s="8"/>
    </row>
    <row r="461" spans="4:11" x14ac:dyDescent="0.25">
      <c r="K461" s="8" t="s">
        <v>391</v>
      </c>
    </row>
    <row r="462" spans="4:11" x14ac:dyDescent="0.25">
      <c r="K462" s="8" t="s">
        <v>406</v>
      </c>
    </row>
    <row r="475" spans="3:11" ht="15.75" x14ac:dyDescent="0.25">
      <c r="C475" s="12" t="s">
        <v>407</v>
      </c>
      <c r="K475" s="62" t="s">
        <v>409</v>
      </c>
    </row>
    <row r="476" spans="3:11" x14ac:dyDescent="0.25">
      <c r="D476" s="6"/>
      <c r="K476" s="62" t="s">
        <v>408</v>
      </c>
    </row>
    <row r="477" spans="3:11" x14ac:dyDescent="0.25">
      <c r="K477" s="8"/>
    </row>
    <row r="478" spans="3:11" x14ac:dyDescent="0.25">
      <c r="D478" s="54" t="s">
        <v>410</v>
      </c>
      <c r="K478" s="56" t="s">
        <v>411</v>
      </c>
    </row>
    <row r="479" spans="3:11" x14ac:dyDescent="0.25">
      <c r="E479" s="69" t="s">
        <v>362</v>
      </c>
      <c r="F479" s="69" t="s">
        <v>363</v>
      </c>
      <c r="K479" s="8" t="s">
        <v>53</v>
      </c>
    </row>
    <row r="480" spans="3:11" x14ac:dyDescent="0.25">
      <c r="E480" s="66" t="s">
        <v>365</v>
      </c>
      <c r="F480" s="66">
        <v>12</v>
      </c>
      <c r="K480" s="8" t="s">
        <v>412</v>
      </c>
    </row>
    <row r="481" spans="5:11" x14ac:dyDescent="0.25">
      <c r="E481" s="66" t="s">
        <v>366</v>
      </c>
      <c r="F481" s="66">
        <v>12</v>
      </c>
      <c r="K481" s="8" t="s">
        <v>413</v>
      </c>
    </row>
    <row r="482" spans="5:11" x14ac:dyDescent="0.25">
      <c r="E482" s="66" t="s">
        <v>367</v>
      </c>
      <c r="F482" s="66">
        <v>30</v>
      </c>
      <c r="K482" s="8"/>
    </row>
    <row r="483" spans="5:11" x14ac:dyDescent="0.25">
      <c r="E483" s="66" t="s">
        <v>368</v>
      </c>
      <c r="F483" s="66">
        <v>13</v>
      </c>
      <c r="K483" s="8" t="s">
        <v>375</v>
      </c>
    </row>
    <row r="484" spans="5:11" x14ac:dyDescent="0.25">
      <c r="E484" s="2" t="s">
        <v>352</v>
      </c>
      <c r="K484" s="8" t="s">
        <v>414</v>
      </c>
    </row>
    <row r="500" spans="4:11" x14ac:dyDescent="0.25">
      <c r="D500" s="54" t="s">
        <v>415</v>
      </c>
      <c r="K500" s="56" t="s">
        <v>416</v>
      </c>
    </row>
    <row r="501" spans="4:11" x14ac:dyDescent="0.25">
      <c r="E501" s="69" t="s">
        <v>362</v>
      </c>
      <c r="F501" s="69" t="s">
        <v>363</v>
      </c>
      <c r="G501" s="69" t="s">
        <v>364</v>
      </c>
      <c r="K501" s="8" t="s">
        <v>53</v>
      </c>
    </row>
    <row r="502" spans="4:11" x14ac:dyDescent="0.25">
      <c r="E502" s="66" t="s">
        <v>365</v>
      </c>
      <c r="F502" s="66">
        <v>12</v>
      </c>
      <c r="G502" s="66">
        <v>9</v>
      </c>
      <c r="K502" s="8" t="s">
        <v>412</v>
      </c>
    </row>
    <row r="503" spans="4:11" x14ac:dyDescent="0.25">
      <c r="E503" s="66" t="s">
        <v>366</v>
      </c>
      <c r="F503" s="66">
        <v>12</v>
      </c>
      <c r="G503" s="66">
        <v>8</v>
      </c>
      <c r="K503" s="8" t="s">
        <v>417</v>
      </c>
    </row>
    <row r="504" spans="4:11" x14ac:dyDescent="0.25">
      <c r="E504" s="66" t="s">
        <v>367</v>
      </c>
      <c r="F504" s="66">
        <v>30</v>
      </c>
      <c r="G504" s="66">
        <v>18</v>
      </c>
      <c r="K504" s="8"/>
    </row>
    <row r="505" spans="4:11" x14ac:dyDescent="0.25">
      <c r="E505" s="66" t="s">
        <v>368</v>
      </c>
      <c r="F505" s="66">
        <v>13</v>
      </c>
      <c r="G505" s="66">
        <v>10</v>
      </c>
      <c r="K505" s="8" t="s">
        <v>391</v>
      </c>
    </row>
    <row r="506" spans="4:11" x14ac:dyDescent="0.25">
      <c r="E506" s="2" t="s">
        <v>352</v>
      </c>
      <c r="K506" s="8" t="s">
        <v>418</v>
      </c>
    </row>
    <row r="507" spans="4:11" x14ac:dyDescent="0.25">
      <c r="K507" s="8" t="s">
        <v>419</v>
      </c>
    </row>
    <row r="523" spans="4:11" x14ac:dyDescent="0.25">
      <c r="D523" s="54" t="s">
        <v>420</v>
      </c>
      <c r="K523" s="63" t="s">
        <v>421</v>
      </c>
    </row>
    <row r="524" spans="4:11" x14ac:dyDescent="0.25">
      <c r="E524" s="78" t="s">
        <v>254</v>
      </c>
      <c r="F524" s="78" t="s">
        <v>422</v>
      </c>
      <c r="K524" s="63" t="s">
        <v>428</v>
      </c>
    </row>
    <row r="525" spans="4:11" x14ac:dyDescent="0.25">
      <c r="E525" s="81" t="s">
        <v>423</v>
      </c>
      <c r="F525" s="81">
        <v>120</v>
      </c>
      <c r="K525" s="8" t="s">
        <v>53</v>
      </c>
    </row>
    <row r="526" spans="4:11" x14ac:dyDescent="0.25">
      <c r="E526" s="81" t="s">
        <v>424</v>
      </c>
      <c r="F526" s="81">
        <v>90</v>
      </c>
      <c r="K526" s="8" t="s">
        <v>412</v>
      </c>
    </row>
    <row r="527" spans="4:11" x14ac:dyDescent="0.25">
      <c r="E527" s="81" t="s">
        <v>425</v>
      </c>
      <c r="F527" s="81">
        <v>150</v>
      </c>
      <c r="K527" s="8" t="s">
        <v>427</v>
      </c>
    </row>
    <row r="528" spans="4:11" x14ac:dyDescent="0.25">
      <c r="E528" s="81" t="s">
        <v>426</v>
      </c>
      <c r="F528" s="81">
        <v>80</v>
      </c>
      <c r="K528" s="8"/>
    </row>
    <row r="529" spans="3:11" x14ac:dyDescent="0.25">
      <c r="K529" s="8" t="s">
        <v>391</v>
      </c>
    </row>
    <row r="530" spans="3:11" x14ac:dyDescent="0.25">
      <c r="K530" s="8" t="s">
        <v>429</v>
      </c>
    </row>
    <row r="544" spans="3:11" x14ac:dyDescent="0.25">
      <c r="C544" s="16" t="s">
        <v>430</v>
      </c>
      <c r="K544" s="62" t="s">
        <v>431</v>
      </c>
    </row>
    <row r="545" spans="4:11" x14ac:dyDescent="0.25">
      <c r="K545" s="62" t="s">
        <v>432</v>
      </c>
    </row>
    <row r="546" spans="4:11" x14ac:dyDescent="0.25">
      <c r="K546" s="8"/>
    </row>
    <row r="547" spans="4:11" x14ac:dyDescent="0.25">
      <c r="K547" s="8"/>
    </row>
    <row r="548" spans="4:11" x14ac:dyDescent="0.25">
      <c r="D548" s="54" t="s">
        <v>433</v>
      </c>
      <c r="K548" s="56" t="s">
        <v>434</v>
      </c>
    </row>
    <row r="549" spans="4:11" x14ac:dyDescent="0.25">
      <c r="E549" s="69" t="s">
        <v>71</v>
      </c>
      <c r="F549" s="69" t="s">
        <v>353</v>
      </c>
      <c r="G549" s="69" t="s">
        <v>354</v>
      </c>
      <c r="H549" s="69" t="s">
        <v>355</v>
      </c>
      <c r="I549" s="6"/>
      <c r="K549" s="8" t="s">
        <v>53</v>
      </c>
    </row>
    <row r="550" spans="4:11" x14ac:dyDescent="0.25">
      <c r="E550" s="66" t="s">
        <v>435</v>
      </c>
      <c r="F550" s="66">
        <v>45</v>
      </c>
      <c r="G550" s="66">
        <v>49</v>
      </c>
      <c r="H550" s="66">
        <v>49</v>
      </c>
      <c r="K550" s="8" t="s">
        <v>438</v>
      </c>
    </row>
    <row r="551" spans="4:11" x14ac:dyDescent="0.25">
      <c r="E551" s="66" t="s">
        <v>436</v>
      </c>
      <c r="F551" s="66">
        <v>60</v>
      </c>
      <c r="G551" s="66">
        <v>62</v>
      </c>
      <c r="H551" s="66">
        <v>63</v>
      </c>
      <c r="K551" s="8" t="s">
        <v>439</v>
      </c>
    </row>
    <row r="552" spans="4:11" x14ac:dyDescent="0.25">
      <c r="E552" s="66" t="s">
        <v>437</v>
      </c>
      <c r="F552" s="66">
        <v>80</v>
      </c>
      <c r="G552" s="66">
        <v>82</v>
      </c>
      <c r="H552" s="66">
        <v>83</v>
      </c>
      <c r="K552" s="8"/>
    </row>
    <row r="553" spans="4:11" x14ac:dyDescent="0.25">
      <c r="K553" s="57" t="s">
        <v>440</v>
      </c>
    </row>
    <row r="554" spans="4:11" x14ac:dyDescent="0.25">
      <c r="K554" s="57" t="s">
        <v>441</v>
      </c>
    </row>
    <row r="567" spans="4:11" x14ac:dyDescent="0.25">
      <c r="D567" s="54" t="s">
        <v>442</v>
      </c>
      <c r="K567" s="63" t="s">
        <v>443</v>
      </c>
    </row>
    <row r="568" spans="4:11" x14ac:dyDescent="0.25">
      <c r="E568" s="82" t="s">
        <v>444</v>
      </c>
      <c r="F568" s="83" t="s">
        <v>446</v>
      </c>
      <c r="G568" s="83" t="s">
        <v>447</v>
      </c>
      <c r="H568" s="51"/>
      <c r="I568" s="51"/>
      <c r="K568" s="63" t="s">
        <v>583</v>
      </c>
    </row>
    <row r="569" spans="4:11" x14ac:dyDescent="0.25">
      <c r="E569" s="66" t="s">
        <v>207</v>
      </c>
      <c r="F569" s="80">
        <v>120</v>
      </c>
      <c r="G569" s="80">
        <v>100</v>
      </c>
      <c r="H569" s="51"/>
      <c r="I569" s="51"/>
      <c r="K569" s="8" t="s">
        <v>53</v>
      </c>
    </row>
    <row r="570" spans="4:11" x14ac:dyDescent="0.25">
      <c r="E570" s="66" t="s">
        <v>208</v>
      </c>
      <c r="F570" s="80">
        <v>150</v>
      </c>
      <c r="G570" s="80">
        <v>130</v>
      </c>
      <c r="H570" s="51"/>
      <c r="I570" s="51"/>
      <c r="K570" s="8" t="s">
        <v>438</v>
      </c>
    </row>
    <row r="571" spans="4:11" x14ac:dyDescent="0.25">
      <c r="E571" s="66" t="s">
        <v>209</v>
      </c>
      <c r="F571" s="80">
        <v>170</v>
      </c>
      <c r="G571" s="80">
        <v>160</v>
      </c>
      <c r="H571" s="51"/>
      <c r="I571" s="51"/>
      <c r="K571" s="8" t="s">
        <v>448</v>
      </c>
    </row>
    <row r="572" spans="4:11" x14ac:dyDescent="0.25">
      <c r="E572" s="66" t="s">
        <v>445</v>
      </c>
      <c r="F572" s="80">
        <v>160</v>
      </c>
      <c r="G572" s="80">
        <v>180</v>
      </c>
      <c r="H572" s="51"/>
      <c r="I572" s="51"/>
      <c r="K572" s="8"/>
    </row>
    <row r="573" spans="4:11" x14ac:dyDescent="0.25">
      <c r="F573" s="51"/>
      <c r="G573" s="51"/>
      <c r="H573" s="51"/>
      <c r="I573" s="51"/>
      <c r="K573" s="57" t="s">
        <v>440</v>
      </c>
    </row>
    <row r="574" spans="4:11" x14ac:dyDescent="0.25">
      <c r="F574" s="51"/>
      <c r="G574" s="51"/>
      <c r="H574" s="51"/>
      <c r="I574" s="51"/>
      <c r="K574" s="57" t="s">
        <v>449</v>
      </c>
    </row>
    <row r="575" spans="4:11" x14ac:dyDescent="0.25">
      <c r="K575" s="8"/>
    </row>
    <row r="576" spans="4:11" x14ac:dyDescent="0.25">
      <c r="K576" s="8" t="s">
        <v>375</v>
      </c>
    </row>
    <row r="577" spans="4:11" x14ac:dyDescent="0.25">
      <c r="K577" s="8" t="s">
        <v>450</v>
      </c>
    </row>
    <row r="578" spans="4:11" x14ac:dyDescent="0.25">
      <c r="K578" s="8" t="s">
        <v>451</v>
      </c>
    </row>
    <row r="579" spans="4:11" x14ac:dyDescent="0.25">
      <c r="K579" s="8" t="s">
        <v>452</v>
      </c>
    </row>
    <row r="586" spans="4:11" x14ac:dyDescent="0.25">
      <c r="D586" s="54" t="s">
        <v>453</v>
      </c>
      <c r="K586" s="63" t="s">
        <v>454</v>
      </c>
    </row>
    <row r="587" spans="4:11" x14ac:dyDescent="0.25">
      <c r="E587" s="69" t="s">
        <v>253</v>
      </c>
      <c r="F587" s="69" t="s">
        <v>446</v>
      </c>
      <c r="G587" s="69" t="s">
        <v>447</v>
      </c>
      <c r="H587" s="69" t="s">
        <v>458</v>
      </c>
      <c r="I587" s="6"/>
      <c r="K587" s="63" t="s">
        <v>455</v>
      </c>
    </row>
    <row r="588" spans="4:11" x14ac:dyDescent="0.25">
      <c r="E588" s="66" t="s">
        <v>207</v>
      </c>
      <c r="F588" s="66">
        <v>10</v>
      </c>
      <c r="G588" s="66">
        <v>15</v>
      </c>
      <c r="H588" s="66">
        <v>20</v>
      </c>
      <c r="K588" s="8" t="s">
        <v>219</v>
      </c>
    </row>
    <row r="589" spans="4:11" x14ac:dyDescent="0.25">
      <c r="E589" s="66" t="s">
        <v>208</v>
      </c>
      <c r="F589" s="66">
        <v>12</v>
      </c>
      <c r="G589" s="66">
        <v>18</v>
      </c>
      <c r="H589" s="66">
        <v>22</v>
      </c>
      <c r="K589" s="8" t="s">
        <v>457</v>
      </c>
    </row>
    <row r="590" spans="4:11" x14ac:dyDescent="0.25">
      <c r="E590" s="66" t="s">
        <v>209</v>
      </c>
      <c r="F590" s="66">
        <v>14</v>
      </c>
      <c r="G590" s="66">
        <v>20</v>
      </c>
      <c r="H590" s="66">
        <v>25</v>
      </c>
      <c r="K590" s="8" t="s">
        <v>459</v>
      </c>
    </row>
    <row r="591" spans="4:11" x14ac:dyDescent="0.25">
      <c r="K591" s="8"/>
    </row>
    <row r="592" spans="4:11" x14ac:dyDescent="0.25">
      <c r="K592" s="57" t="s">
        <v>440</v>
      </c>
    </row>
    <row r="593" spans="4:11" x14ac:dyDescent="0.25">
      <c r="K593" s="57" t="s">
        <v>456</v>
      </c>
    </row>
    <row r="594" spans="4:11" x14ac:dyDescent="0.25">
      <c r="K594" s="57" t="s">
        <v>464</v>
      </c>
    </row>
    <row r="604" spans="4:11" x14ac:dyDescent="0.25">
      <c r="D604" s="54" t="s">
        <v>460</v>
      </c>
      <c r="K604" s="63" t="s">
        <v>461</v>
      </c>
    </row>
    <row r="605" spans="4:11" x14ac:dyDescent="0.25">
      <c r="E605" s="69" t="s">
        <v>253</v>
      </c>
      <c r="F605" s="69" t="s">
        <v>446</v>
      </c>
      <c r="G605" s="69" t="s">
        <v>447</v>
      </c>
      <c r="H605" s="69" t="s">
        <v>458</v>
      </c>
      <c r="I605" s="6"/>
      <c r="K605" s="63" t="s">
        <v>462</v>
      </c>
    </row>
    <row r="606" spans="4:11" x14ac:dyDescent="0.25">
      <c r="E606" s="66" t="s">
        <v>207</v>
      </c>
      <c r="F606" s="66">
        <v>10</v>
      </c>
      <c r="G606" s="66">
        <v>15</v>
      </c>
      <c r="H606" s="66">
        <v>20</v>
      </c>
      <c r="K606" s="8" t="s">
        <v>219</v>
      </c>
    </row>
    <row r="607" spans="4:11" x14ac:dyDescent="0.25">
      <c r="E607" s="66" t="s">
        <v>208</v>
      </c>
      <c r="F607" s="66">
        <v>12</v>
      </c>
      <c r="G607" s="66">
        <v>18</v>
      </c>
      <c r="H607" s="66">
        <v>22</v>
      </c>
      <c r="K607" s="8" t="s">
        <v>457</v>
      </c>
    </row>
    <row r="608" spans="4:11" x14ac:dyDescent="0.25">
      <c r="E608" s="66" t="s">
        <v>209</v>
      </c>
      <c r="F608" s="66">
        <v>14</v>
      </c>
      <c r="G608" s="66">
        <v>20</v>
      </c>
      <c r="H608" s="66">
        <v>25</v>
      </c>
      <c r="K608" s="8" t="s">
        <v>463</v>
      </c>
    </row>
    <row r="609" spans="4:11" x14ac:dyDescent="0.25">
      <c r="K609" s="8"/>
    </row>
    <row r="610" spans="4:11" x14ac:dyDescent="0.25">
      <c r="K610" s="57" t="s">
        <v>440</v>
      </c>
    </row>
    <row r="611" spans="4:11" x14ac:dyDescent="0.25">
      <c r="K611" s="57" t="s">
        <v>465</v>
      </c>
    </row>
    <row r="624" spans="4:11" x14ac:dyDescent="0.25">
      <c r="D624" s="54" t="s">
        <v>466</v>
      </c>
      <c r="K624" s="63" t="s">
        <v>467</v>
      </c>
    </row>
    <row r="625" spans="5:11" x14ac:dyDescent="0.25">
      <c r="E625" s="69" t="s">
        <v>253</v>
      </c>
      <c r="F625" s="69" t="s">
        <v>446</v>
      </c>
      <c r="G625" s="69" t="s">
        <v>447</v>
      </c>
      <c r="H625" s="69" t="s">
        <v>458</v>
      </c>
      <c r="I625" s="6"/>
      <c r="K625" s="63" t="s">
        <v>468</v>
      </c>
    </row>
    <row r="626" spans="5:11" x14ac:dyDescent="0.25">
      <c r="E626" s="66" t="s">
        <v>207</v>
      </c>
      <c r="F626" s="66">
        <v>40</v>
      </c>
      <c r="G626" s="66">
        <v>30</v>
      </c>
      <c r="H626" s="66">
        <v>30</v>
      </c>
      <c r="K626" s="8" t="s">
        <v>53</v>
      </c>
    </row>
    <row r="627" spans="5:11" x14ac:dyDescent="0.25">
      <c r="E627" s="66" t="s">
        <v>208</v>
      </c>
      <c r="F627" s="66">
        <v>50</v>
      </c>
      <c r="G627" s="66">
        <v>20</v>
      </c>
      <c r="H627" s="66">
        <v>30</v>
      </c>
      <c r="K627" s="8" t="s">
        <v>469</v>
      </c>
    </row>
    <row r="628" spans="5:11" x14ac:dyDescent="0.25">
      <c r="E628" s="66" t="s">
        <v>209</v>
      </c>
      <c r="F628" s="66">
        <v>60</v>
      </c>
      <c r="G628" s="66">
        <v>25</v>
      </c>
      <c r="H628" s="66">
        <v>15</v>
      </c>
      <c r="K628" s="8" t="s">
        <v>470</v>
      </c>
    </row>
    <row r="629" spans="5:11" x14ac:dyDescent="0.25">
      <c r="K629" s="8"/>
    </row>
    <row r="630" spans="5:11" x14ac:dyDescent="0.25">
      <c r="K630" s="57" t="s">
        <v>135</v>
      </c>
    </row>
    <row r="631" spans="5:11" x14ac:dyDescent="0.25">
      <c r="K631" s="57" t="s">
        <v>471</v>
      </c>
    </row>
    <row r="632" spans="5:11" x14ac:dyDescent="0.25">
      <c r="K632" s="57" t="s">
        <v>472</v>
      </c>
    </row>
    <row r="642" spans="4:11" x14ac:dyDescent="0.25">
      <c r="D642" s="54" t="s">
        <v>473</v>
      </c>
      <c r="K642" s="63" t="s">
        <v>474</v>
      </c>
    </row>
    <row r="643" spans="4:11" x14ac:dyDescent="0.25">
      <c r="K643" s="63" t="s">
        <v>475</v>
      </c>
    </row>
    <row r="644" spans="4:11" x14ac:dyDescent="0.25">
      <c r="K644" s="8" t="s">
        <v>53</v>
      </c>
    </row>
    <row r="645" spans="4:11" x14ac:dyDescent="0.25">
      <c r="K645" s="8" t="s">
        <v>469</v>
      </c>
    </row>
    <row r="646" spans="4:11" x14ac:dyDescent="0.25">
      <c r="K646" s="8" t="s">
        <v>476</v>
      </c>
    </row>
    <row r="647" spans="4:11" x14ac:dyDescent="0.25">
      <c r="K647" s="8"/>
    </row>
    <row r="648" spans="4:11" x14ac:dyDescent="0.25">
      <c r="K648" s="57" t="s">
        <v>440</v>
      </c>
    </row>
    <row r="649" spans="4:11" x14ac:dyDescent="0.25">
      <c r="K649" s="57" t="s">
        <v>477</v>
      </c>
    </row>
    <row r="659" spans="3:11" x14ac:dyDescent="0.25">
      <c r="C659" s="16" t="s">
        <v>478</v>
      </c>
      <c r="K659" s="62" t="s">
        <v>479</v>
      </c>
    </row>
    <row r="660" spans="3:11" x14ac:dyDescent="0.25">
      <c r="K660" s="62" t="s">
        <v>480</v>
      </c>
    </row>
    <row r="661" spans="3:11" x14ac:dyDescent="0.25">
      <c r="K661" s="62" t="s">
        <v>481</v>
      </c>
    </row>
    <row r="662" spans="3:11" x14ac:dyDescent="0.25">
      <c r="K662" s="8"/>
    </row>
    <row r="663" spans="3:11" x14ac:dyDescent="0.25">
      <c r="D663" s="54" t="s">
        <v>482</v>
      </c>
      <c r="K663" s="56" t="s">
        <v>497</v>
      </c>
    </row>
    <row r="664" spans="3:11" x14ac:dyDescent="0.25">
      <c r="D664" s="69" t="s">
        <v>483</v>
      </c>
      <c r="E664" s="69" t="s">
        <v>484</v>
      </c>
      <c r="F664" s="69" t="s">
        <v>485</v>
      </c>
      <c r="G664" s="69" t="s">
        <v>486</v>
      </c>
      <c r="H664" s="82" t="s">
        <v>487</v>
      </c>
      <c r="I664" s="82" t="s">
        <v>488</v>
      </c>
      <c r="K664" s="8" t="s">
        <v>219</v>
      </c>
    </row>
    <row r="665" spans="3:11" x14ac:dyDescent="0.25">
      <c r="D665" s="66" t="s">
        <v>489</v>
      </c>
      <c r="E665" s="66">
        <v>45</v>
      </c>
      <c r="F665" s="66">
        <v>49</v>
      </c>
      <c r="G665" s="66">
        <v>49</v>
      </c>
      <c r="H665" s="66">
        <v>65</v>
      </c>
      <c r="I665" s="66">
        <v>65</v>
      </c>
      <c r="K665" s="8" t="s">
        <v>457</v>
      </c>
    </row>
    <row r="666" spans="3:11" x14ac:dyDescent="0.25">
      <c r="D666" s="66" t="s">
        <v>490</v>
      </c>
      <c r="E666" s="66">
        <v>60</v>
      </c>
      <c r="F666" s="66">
        <v>62</v>
      </c>
      <c r="G666" s="66">
        <v>63</v>
      </c>
      <c r="H666" s="66">
        <v>80</v>
      </c>
      <c r="I666" s="66">
        <v>80</v>
      </c>
      <c r="K666" s="8" t="s">
        <v>492</v>
      </c>
    </row>
    <row r="667" spans="3:11" x14ac:dyDescent="0.25">
      <c r="D667" s="66" t="s">
        <v>491</v>
      </c>
      <c r="E667" s="66">
        <v>80</v>
      </c>
      <c r="F667" s="66">
        <v>82</v>
      </c>
      <c r="G667" s="66">
        <v>83</v>
      </c>
      <c r="H667" s="66">
        <v>100</v>
      </c>
      <c r="I667" s="66">
        <v>100</v>
      </c>
    </row>
    <row r="668" spans="3:11" x14ac:dyDescent="0.25">
      <c r="D668" s="2" t="s">
        <v>352</v>
      </c>
      <c r="E668" s="48"/>
      <c r="F668" s="48"/>
      <c r="G668" s="48"/>
    </row>
    <row r="669" spans="3:11" x14ac:dyDescent="0.25">
      <c r="E669" s="48"/>
      <c r="F669" s="48"/>
      <c r="G669" s="48"/>
    </row>
    <row r="686" spans="4:11" x14ac:dyDescent="0.25">
      <c r="D686" s="54" t="s">
        <v>493</v>
      </c>
      <c r="K686" s="56" t="s">
        <v>496</v>
      </c>
    </row>
    <row r="687" spans="4:11" x14ac:dyDescent="0.25">
      <c r="K687" s="8" t="s">
        <v>219</v>
      </c>
    </row>
    <row r="688" spans="4:11" x14ac:dyDescent="0.25">
      <c r="K688" s="8" t="s">
        <v>457</v>
      </c>
    </row>
    <row r="689" spans="11:11" x14ac:dyDescent="0.25">
      <c r="K689" s="8" t="s">
        <v>494</v>
      </c>
    </row>
    <row r="705" spans="4:11" x14ac:dyDescent="0.25">
      <c r="D705" s="54" t="s">
        <v>495</v>
      </c>
      <c r="K705" s="56" t="s">
        <v>498</v>
      </c>
    </row>
    <row r="706" spans="4:11" x14ac:dyDescent="0.25">
      <c r="K706" s="8" t="s">
        <v>53</v>
      </c>
    </row>
    <row r="707" spans="4:11" x14ac:dyDescent="0.25">
      <c r="K707" s="8" t="s">
        <v>457</v>
      </c>
    </row>
    <row r="708" spans="4:11" x14ac:dyDescent="0.25">
      <c r="K708" s="8" t="s">
        <v>499</v>
      </c>
    </row>
    <row r="716" spans="4:11" x14ac:dyDescent="0.25">
      <c r="K716" s="57" t="s">
        <v>500</v>
      </c>
    </row>
    <row r="717" spans="4:11" x14ac:dyDescent="0.25">
      <c r="K717" s="57" t="s">
        <v>501</v>
      </c>
    </row>
    <row r="718" spans="4:11" x14ac:dyDescent="0.25">
      <c r="K718" s="57" t="s">
        <v>504</v>
      </c>
    </row>
    <row r="719" spans="4:11" x14ac:dyDescent="0.25">
      <c r="K719" s="57" t="s">
        <v>502</v>
      </c>
    </row>
    <row r="720" spans="4:11" x14ac:dyDescent="0.25">
      <c r="K720" s="57" t="s">
        <v>503</v>
      </c>
    </row>
    <row r="725" spans="2:11" ht="19.5" x14ac:dyDescent="0.3">
      <c r="B725" s="4" t="s">
        <v>505</v>
      </c>
      <c r="K725" s="58" t="s">
        <v>506</v>
      </c>
    </row>
    <row r="726" spans="2:11" x14ac:dyDescent="0.25">
      <c r="C726" s="78" t="s">
        <v>514</v>
      </c>
      <c r="D726" s="78" t="s">
        <v>515</v>
      </c>
      <c r="E726" s="73" t="s">
        <v>518</v>
      </c>
      <c r="F726" s="14" t="s">
        <v>521</v>
      </c>
      <c r="K726" s="58" t="s">
        <v>507</v>
      </c>
    </row>
    <row r="727" spans="2:11" x14ac:dyDescent="0.25">
      <c r="C727" s="79">
        <v>0</v>
      </c>
      <c r="D727" s="84">
        <v>-10000000</v>
      </c>
      <c r="E727" s="86">
        <f>NPV(D734,D728:D730)+D727</f>
        <v>-52592.036063112319</v>
      </c>
      <c r="F727" s="14" t="s">
        <v>523</v>
      </c>
      <c r="K727" s="58" t="s">
        <v>508</v>
      </c>
    </row>
    <row r="728" spans="2:11" x14ac:dyDescent="0.25">
      <c r="C728" s="79">
        <v>1</v>
      </c>
      <c r="D728" s="84">
        <v>4000000</v>
      </c>
      <c r="F728" s="14" t="s">
        <v>531</v>
      </c>
      <c r="K728" s="8"/>
    </row>
    <row r="729" spans="2:11" x14ac:dyDescent="0.25">
      <c r="C729" s="79">
        <v>2</v>
      </c>
      <c r="D729" s="84">
        <v>4000000</v>
      </c>
      <c r="F729" s="14" t="s">
        <v>532</v>
      </c>
      <c r="K729" s="58" t="s">
        <v>509</v>
      </c>
    </row>
    <row r="730" spans="2:11" x14ac:dyDescent="0.25">
      <c r="C730" s="79">
        <v>3</v>
      </c>
      <c r="D730" s="84">
        <v>4000000</v>
      </c>
      <c r="F730" s="14"/>
      <c r="K730" s="58" t="s">
        <v>510</v>
      </c>
    </row>
    <row r="731" spans="2:11" x14ac:dyDescent="0.25">
      <c r="F731" s="14" t="s">
        <v>522</v>
      </c>
      <c r="K731" s="8"/>
    </row>
    <row r="732" spans="2:11" x14ac:dyDescent="0.25">
      <c r="F732" s="14" t="s">
        <v>524</v>
      </c>
      <c r="K732" s="8" t="s">
        <v>53</v>
      </c>
    </row>
    <row r="733" spans="2:11" x14ac:dyDescent="0.25">
      <c r="F733" s="14" t="s">
        <v>525</v>
      </c>
      <c r="K733" s="8" t="s">
        <v>511</v>
      </c>
    </row>
    <row r="734" spans="2:11" x14ac:dyDescent="0.25">
      <c r="C734" s="68" t="s">
        <v>516</v>
      </c>
      <c r="D734" s="85">
        <v>0.1</v>
      </c>
      <c r="F734" s="14" t="s">
        <v>526</v>
      </c>
      <c r="K734" s="8" t="s">
        <v>512</v>
      </c>
    </row>
    <row r="735" spans="2:11" x14ac:dyDescent="0.25">
      <c r="F735" s="14"/>
      <c r="K735" s="8" t="s">
        <v>513</v>
      </c>
    </row>
    <row r="736" spans="2:11" x14ac:dyDescent="0.25">
      <c r="F736" s="14" t="s">
        <v>533</v>
      </c>
      <c r="K736" s="8"/>
    </row>
    <row r="737" spans="3:11" x14ac:dyDescent="0.25">
      <c r="F737" s="14" t="s">
        <v>534</v>
      </c>
      <c r="K737" s="8"/>
    </row>
    <row r="738" spans="3:11" x14ac:dyDescent="0.25">
      <c r="F738" s="14" t="s">
        <v>535</v>
      </c>
      <c r="K738" s="57" t="s">
        <v>135</v>
      </c>
    </row>
    <row r="739" spans="3:11" x14ac:dyDescent="0.25">
      <c r="K739" s="57" t="s">
        <v>519</v>
      </c>
    </row>
    <row r="740" spans="3:11" x14ac:dyDescent="0.25">
      <c r="K740" s="57" t="s">
        <v>520</v>
      </c>
    </row>
    <row r="741" spans="3:11" x14ac:dyDescent="0.25">
      <c r="C741" s="69" t="s">
        <v>514</v>
      </c>
      <c r="D741" s="69" t="s">
        <v>517</v>
      </c>
      <c r="E741" s="73" t="s">
        <v>637</v>
      </c>
      <c r="F741" s="14" t="s">
        <v>527</v>
      </c>
    </row>
    <row r="742" spans="3:11" x14ac:dyDescent="0.25">
      <c r="C742" s="66">
        <v>1</v>
      </c>
      <c r="D742" s="66">
        <v>10</v>
      </c>
      <c r="E742" s="86">
        <f>NPV(D734,D742:D751)</f>
        <v>377.86809265258063</v>
      </c>
      <c r="F742" s="14" t="s">
        <v>528</v>
      </c>
    </row>
    <row r="743" spans="3:11" x14ac:dyDescent="0.25">
      <c r="C743" s="66">
        <v>2</v>
      </c>
      <c r="D743" s="66">
        <v>12</v>
      </c>
      <c r="F743" s="14"/>
    </row>
    <row r="744" spans="3:11" x14ac:dyDescent="0.25">
      <c r="C744" s="66">
        <v>3</v>
      </c>
      <c r="D744" s="66">
        <v>16</v>
      </c>
      <c r="F744" s="14" t="s">
        <v>529</v>
      </c>
    </row>
    <row r="745" spans="3:11" x14ac:dyDescent="0.25">
      <c r="C745" s="66">
        <v>4</v>
      </c>
      <c r="D745" s="66">
        <v>20</v>
      </c>
      <c r="F745" s="14" t="s">
        <v>530</v>
      </c>
    </row>
    <row r="746" spans="3:11" x14ac:dyDescent="0.25">
      <c r="C746" s="66">
        <v>5</v>
      </c>
      <c r="D746" s="66">
        <v>28</v>
      </c>
      <c r="F746" s="14"/>
    </row>
    <row r="747" spans="3:11" x14ac:dyDescent="0.25">
      <c r="C747" s="66">
        <v>6</v>
      </c>
      <c r="D747" s="66">
        <v>50</v>
      </c>
      <c r="F747" s="14" t="s">
        <v>536</v>
      </c>
    </row>
    <row r="748" spans="3:11" x14ac:dyDescent="0.25">
      <c r="C748" s="66">
        <v>7</v>
      </c>
      <c r="D748" s="66">
        <v>80</v>
      </c>
      <c r="F748" s="14" t="s">
        <v>537</v>
      </c>
    </row>
    <row r="749" spans="3:11" x14ac:dyDescent="0.25">
      <c r="C749" s="66">
        <v>8</v>
      </c>
      <c r="D749" s="66">
        <v>140</v>
      </c>
      <c r="F749" s="14" t="s">
        <v>538</v>
      </c>
    </row>
    <row r="750" spans="3:11" x14ac:dyDescent="0.25">
      <c r="C750" s="66">
        <v>9</v>
      </c>
      <c r="D750" s="66">
        <v>200</v>
      </c>
      <c r="F750" s="14"/>
    </row>
    <row r="751" spans="3:11" x14ac:dyDescent="0.25">
      <c r="C751" s="66">
        <v>10</v>
      </c>
      <c r="D751" s="66">
        <v>250</v>
      </c>
      <c r="F751" s="14" t="s">
        <v>539</v>
      </c>
    </row>
    <row r="752" spans="3:11" x14ac:dyDescent="0.25">
      <c r="F752" s="14" t="s">
        <v>540</v>
      </c>
    </row>
    <row r="753" spans="2:11" x14ac:dyDescent="0.25">
      <c r="F753" s="14" t="s">
        <v>541</v>
      </c>
    </row>
    <row r="757" spans="2:11" ht="19.5" x14ac:dyDescent="0.3">
      <c r="B757" s="4" t="s">
        <v>542</v>
      </c>
      <c r="K757" s="55" t="s">
        <v>543</v>
      </c>
    </row>
    <row r="758" spans="2:11" x14ac:dyDescent="0.25">
      <c r="C758" s="11" t="s">
        <v>558</v>
      </c>
      <c r="D758" s="69" t="s">
        <v>544</v>
      </c>
      <c r="E758" s="69" t="s">
        <v>545</v>
      </c>
      <c r="F758" s="69" t="s">
        <v>546</v>
      </c>
      <c r="K758" s="8" t="s">
        <v>53</v>
      </c>
    </row>
    <row r="759" spans="2:11" x14ac:dyDescent="0.25">
      <c r="D759" s="66" t="s">
        <v>547</v>
      </c>
      <c r="E759" s="66">
        <v>6</v>
      </c>
      <c r="F759" s="66" t="s">
        <v>551</v>
      </c>
      <c r="K759" s="8" t="s">
        <v>553</v>
      </c>
    </row>
    <row r="760" spans="2:11" x14ac:dyDescent="0.25">
      <c r="D760" s="66" t="s">
        <v>549</v>
      </c>
      <c r="E760" s="66">
        <v>4</v>
      </c>
      <c r="F760" s="66" t="s">
        <v>552</v>
      </c>
      <c r="K760" s="8" t="s">
        <v>554</v>
      </c>
    </row>
    <row r="761" spans="2:11" x14ac:dyDescent="0.25">
      <c r="D761" s="66" t="s">
        <v>550</v>
      </c>
      <c r="E761" s="66">
        <v>5</v>
      </c>
      <c r="F761" s="66" t="s">
        <v>552</v>
      </c>
      <c r="K761" s="8" t="s">
        <v>555</v>
      </c>
    </row>
    <row r="762" spans="2:11" x14ac:dyDescent="0.25">
      <c r="D762" s="66" t="s">
        <v>548</v>
      </c>
      <c r="E762" s="66">
        <v>6</v>
      </c>
      <c r="F762" s="66" t="s">
        <v>552</v>
      </c>
      <c r="K762" s="8" t="s">
        <v>560</v>
      </c>
    </row>
    <row r="763" spans="2:11" x14ac:dyDescent="0.25">
      <c r="K763" s="8" t="s">
        <v>556</v>
      </c>
    </row>
    <row r="764" spans="2:11" x14ac:dyDescent="0.25">
      <c r="K764" s="8" t="s">
        <v>557</v>
      </c>
    </row>
    <row r="765" spans="2:11" x14ac:dyDescent="0.25">
      <c r="C765" s="11" t="s">
        <v>559</v>
      </c>
      <c r="D765" s="73" t="s">
        <v>544</v>
      </c>
      <c r="E765" s="73" t="s">
        <v>545</v>
      </c>
      <c r="F765" s="73" t="s">
        <v>546</v>
      </c>
    </row>
    <row r="766" spans="2:11" x14ac:dyDescent="0.25">
      <c r="D766" s="66" t="s">
        <v>547</v>
      </c>
      <c r="E766" s="66">
        <v>6</v>
      </c>
      <c r="F766" s="66" t="s">
        <v>551</v>
      </c>
    </row>
    <row r="767" spans="2:11" x14ac:dyDescent="0.25">
      <c r="D767" s="66" t="s">
        <v>549</v>
      </c>
      <c r="E767" s="66">
        <v>4</v>
      </c>
      <c r="F767" s="66" t="s">
        <v>552</v>
      </c>
    </row>
    <row r="768" spans="2:11" x14ac:dyDescent="0.25">
      <c r="D768" s="66" t="s">
        <v>550</v>
      </c>
      <c r="E768" s="66">
        <v>5</v>
      </c>
      <c r="F768" s="66" t="s">
        <v>552</v>
      </c>
    </row>
    <row r="769" spans="2:11" x14ac:dyDescent="0.25">
      <c r="D769"/>
      <c r="E769"/>
      <c r="F769"/>
    </row>
    <row r="772" spans="2:11" ht="19.5" x14ac:dyDescent="0.3">
      <c r="B772" s="4" t="s">
        <v>561</v>
      </c>
      <c r="K772" s="58" t="s">
        <v>562</v>
      </c>
    </row>
    <row r="773" spans="2:11" x14ac:dyDescent="0.25">
      <c r="B773" s="11" t="s">
        <v>581</v>
      </c>
      <c r="C773" s="69" t="s">
        <v>567</v>
      </c>
      <c r="D773" s="69" t="s">
        <v>207</v>
      </c>
      <c r="E773" s="69" t="s">
        <v>208</v>
      </c>
      <c r="F773" s="69" t="s">
        <v>209</v>
      </c>
      <c r="G773" s="69" t="s">
        <v>445</v>
      </c>
      <c r="H773" s="69" t="s">
        <v>568</v>
      </c>
      <c r="I773" s="73" t="s">
        <v>636</v>
      </c>
      <c r="K773" s="58" t="s">
        <v>563</v>
      </c>
    </row>
    <row r="774" spans="2:11" x14ac:dyDescent="0.25">
      <c r="C774" s="66" t="s">
        <v>569</v>
      </c>
      <c r="D774" s="66">
        <v>400</v>
      </c>
      <c r="E774" s="66">
        <v>570</v>
      </c>
      <c r="F774" s="66">
        <v>100</v>
      </c>
      <c r="G774" s="66">
        <v>200</v>
      </c>
      <c r="H774" s="66">
        <v>630</v>
      </c>
      <c r="I774" s="66"/>
      <c r="K774" s="58" t="s">
        <v>564</v>
      </c>
    </row>
    <row r="775" spans="2:11" x14ac:dyDescent="0.25">
      <c r="C775" s="66" t="s">
        <v>570</v>
      </c>
      <c r="D775" s="66">
        <v>800</v>
      </c>
      <c r="E775" s="66">
        <v>520</v>
      </c>
      <c r="F775" s="66">
        <v>125</v>
      </c>
      <c r="G775" s="66">
        <v>135</v>
      </c>
      <c r="H775" s="66">
        <v>330</v>
      </c>
      <c r="I775" s="66"/>
      <c r="K775" s="58" t="s">
        <v>565</v>
      </c>
    </row>
    <row r="776" spans="2:11" x14ac:dyDescent="0.25">
      <c r="C776" s="66" t="s">
        <v>571</v>
      </c>
      <c r="D776" s="66">
        <v>200</v>
      </c>
      <c r="E776" s="66">
        <v>398</v>
      </c>
      <c r="F776" s="66">
        <v>122</v>
      </c>
      <c r="G776" s="66">
        <v>140</v>
      </c>
      <c r="H776" s="66">
        <v>630</v>
      </c>
      <c r="I776" s="66"/>
      <c r="K776" s="58" t="s">
        <v>566</v>
      </c>
    </row>
    <row r="777" spans="2:11" x14ac:dyDescent="0.25">
      <c r="C777" s="66" t="s">
        <v>572</v>
      </c>
      <c r="D777" s="66">
        <v>200</v>
      </c>
      <c r="E777" s="66">
        <v>560</v>
      </c>
      <c r="F777" s="66">
        <v>450</v>
      </c>
      <c r="G777" s="66">
        <v>700</v>
      </c>
      <c r="H777" s="66">
        <v>500</v>
      </c>
      <c r="I777" s="66"/>
      <c r="K777" s="8"/>
    </row>
    <row r="778" spans="2:11" x14ac:dyDescent="0.25">
      <c r="C778" s="66" t="s">
        <v>573</v>
      </c>
      <c r="D778" s="66">
        <v>870</v>
      </c>
      <c r="E778" s="66">
        <v>480</v>
      </c>
      <c r="F778" s="66">
        <v>690</v>
      </c>
      <c r="G778" s="66">
        <v>400</v>
      </c>
      <c r="H778" s="66">
        <v>200</v>
      </c>
      <c r="I778" s="66"/>
      <c r="K778" s="8" t="s">
        <v>219</v>
      </c>
    </row>
    <row r="779" spans="2:11" x14ac:dyDescent="0.25">
      <c r="K779" s="8" t="s">
        <v>574</v>
      </c>
    </row>
    <row r="780" spans="2:11" x14ac:dyDescent="0.25">
      <c r="K780" s="8" t="s">
        <v>575</v>
      </c>
    </row>
    <row r="781" spans="2:11" x14ac:dyDescent="0.25">
      <c r="K781" s="8" t="s">
        <v>576</v>
      </c>
    </row>
    <row r="782" spans="2:11" x14ac:dyDescent="0.25">
      <c r="B782" s="11" t="s">
        <v>582</v>
      </c>
      <c r="C782" s="69" t="s">
        <v>567</v>
      </c>
      <c r="D782" s="69" t="s">
        <v>207</v>
      </c>
      <c r="E782" s="69" t="s">
        <v>208</v>
      </c>
      <c r="F782" s="69" t="s">
        <v>209</v>
      </c>
      <c r="G782" s="69" t="s">
        <v>445</v>
      </c>
      <c r="H782" s="69" t="s">
        <v>568</v>
      </c>
      <c r="I782" s="73" t="s">
        <v>636</v>
      </c>
      <c r="K782" s="8" t="s">
        <v>577</v>
      </c>
    </row>
    <row r="783" spans="2:11" x14ac:dyDescent="0.25">
      <c r="C783" s="66" t="s">
        <v>569</v>
      </c>
      <c r="D783" s="66">
        <v>400</v>
      </c>
      <c r="E783" s="66">
        <v>570</v>
      </c>
      <c r="F783" s="66"/>
      <c r="G783" s="66">
        <v>200</v>
      </c>
      <c r="H783" s="66">
        <v>630</v>
      </c>
      <c r="I783" s="66"/>
      <c r="K783" s="8"/>
    </row>
    <row r="784" spans="2:11" x14ac:dyDescent="0.25">
      <c r="C784" s="66" t="s">
        <v>570</v>
      </c>
      <c r="D784" s="66"/>
      <c r="E784" s="66">
        <v>520</v>
      </c>
      <c r="F784" s="66">
        <v>125</v>
      </c>
      <c r="G784" s="66">
        <v>135</v>
      </c>
      <c r="H784" s="66">
        <v>330</v>
      </c>
      <c r="I784" s="66"/>
      <c r="K784" s="8"/>
    </row>
    <row r="785" spans="3:11" x14ac:dyDescent="0.25">
      <c r="C785" s="66" t="s">
        <v>571</v>
      </c>
      <c r="D785" s="66">
        <v>200</v>
      </c>
      <c r="E785" s="66"/>
      <c r="F785" s="66">
        <v>122</v>
      </c>
      <c r="G785" s="66">
        <v>140</v>
      </c>
      <c r="H785" s="66">
        <v>630</v>
      </c>
      <c r="I785" s="66"/>
      <c r="K785" s="57" t="s">
        <v>440</v>
      </c>
    </row>
    <row r="786" spans="3:11" x14ac:dyDescent="0.25">
      <c r="K786" s="57" t="s">
        <v>578</v>
      </c>
    </row>
    <row r="787" spans="3:11" x14ac:dyDescent="0.25">
      <c r="K787" s="57" t="s">
        <v>579</v>
      </c>
    </row>
  </sheetData>
  <phoneticPr fontId="6"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markers="1" xr2:uid="{46188259-D87D-403C-A906-6A99DD604DEB}">
          <x14:colorSeries rgb="FF376092"/>
          <x14:colorNegative rgb="FFD00000"/>
          <x14:colorAxis rgb="FF000000"/>
          <x14:colorMarkers rgb="FFD00000"/>
          <x14:colorFirst rgb="FFD00000"/>
          <x14:colorLast rgb="FFD00000"/>
          <x14:colorHigh rgb="FFD00000"/>
          <x14:colorLow rgb="FFD00000"/>
          <x14:sparklines>
            <x14:sparkline>
              <xm:f>'Excel-Intermediate'!D774:H774</xm:f>
              <xm:sqref>I774</xm:sqref>
            </x14:sparkline>
          </x14:sparklines>
        </x14:sparklineGroup>
        <x14:sparklineGroup type="column" displayEmptyCellsAs="gap" low="1" xr2:uid="{F4B47EA9-F7D5-44FF-B806-64EAD9F71973}">
          <x14:colorSeries rgb="FF376092"/>
          <x14:colorNegative rgb="FFD00000"/>
          <x14:colorAxis rgb="FF000000"/>
          <x14:colorMarkers rgb="FFD00000"/>
          <x14:colorFirst rgb="FFD00000"/>
          <x14:colorLast rgb="FFD00000"/>
          <x14:colorHigh rgb="FFD00000"/>
          <x14:colorLow rgb="FFD00000"/>
          <x14:sparklines>
            <x14:sparkline>
              <xm:f>'Excel-Intermediate'!D775:H775</xm:f>
              <xm:sqref>I775</xm:sqref>
            </x14:sparkline>
          </x14:sparklines>
        </x14:sparklineGroup>
        <x14:sparklineGroup type="column" displayEmptyCellsAs="gap" high="1" xr2:uid="{E3A64A90-7DDD-4A0E-92D3-E13A18472A78}">
          <x14:colorSeries rgb="FF323232"/>
          <x14:colorNegative rgb="FFD00000"/>
          <x14:colorAxis rgb="FF000000"/>
          <x14:colorMarkers rgb="FFD00000"/>
          <x14:colorFirst rgb="FFD00000"/>
          <x14:colorLast rgb="FFD00000"/>
          <x14:colorHigh rgb="FFD00000"/>
          <x14:colorLow rgb="FFD00000"/>
          <x14:sparklines>
            <x14:sparkline>
              <xm:f>'Excel-Intermediate'!D776:H776</xm:f>
              <xm:sqref>I776</xm:sqref>
            </x14:sparkline>
          </x14:sparklines>
        </x14:sparklineGroup>
        <x14:sparklineGroup displayEmptyCellsAs="gap" last="1" xr2:uid="{6C6CACCF-E240-42A4-BD05-2C24DF54E4C9}">
          <x14:colorSeries rgb="FF0070C0"/>
          <x14:colorNegative rgb="FF000000"/>
          <x14:colorAxis rgb="FF000000"/>
          <x14:colorMarkers rgb="FF000000"/>
          <x14:colorFirst rgb="FF000000"/>
          <x14:colorLast rgb="FF000000"/>
          <x14:colorHigh rgb="FF000000"/>
          <x14:colorLow rgb="FF000000"/>
          <x14:sparklines>
            <x14:sparkline>
              <xm:f>'Excel-Intermediate'!D778:H778</xm:f>
              <xm:sqref>I778</xm:sqref>
            </x14:sparkline>
          </x14:sparklines>
        </x14:sparklineGroup>
        <x14:sparklineGroup displayEmptyCellsAs="gap" high="1" low="1" xr2:uid="{FB8C531D-C7F6-4BE9-949B-02F9E8792E30}">
          <x14:colorSeries rgb="FF376092"/>
          <x14:colorNegative rgb="FFD00000"/>
          <x14:colorAxis rgb="FF000000"/>
          <x14:colorMarkers rgb="FFD00000"/>
          <x14:colorFirst rgb="FFD00000"/>
          <x14:colorLast rgb="FFD00000"/>
          <x14:colorHigh rgb="FFD00000"/>
          <x14:colorLow rgb="FFD00000"/>
          <x14:sparklines>
            <x14:sparkline>
              <xm:f>'Excel-Intermediate'!D777:H777</xm:f>
              <xm:sqref>I777</xm:sqref>
            </x14:sparkline>
          </x14:sparklines>
        </x14:sparklineGroup>
        <x14:sparklineGroup displayEmptyCellsAs="gap" xr2:uid="{F436BAB3-31D3-4098-8508-85F0DFB380AB}">
          <x14:colorSeries rgb="FF376092"/>
          <x14:colorNegative rgb="FFD00000"/>
          <x14:colorAxis rgb="FF000000"/>
          <x14:colorMarkers rgb="FFD00000"/>
          <x14:colorFirst rgb="FFD00000"/>
          <x14:colorLast rgb="FFD00000"/>
          <x14:colorHigh rgb="FFD00000"/>
          <x14:colorLow rgb="FFD00000"/>
          <x14:sparklines>
            <x14:sparkline>
              <xm:f>'Excel-Intermediate'!D783:H783</xm:f>
              <xm:sqref>I783</xm:sqref>
            </x14:sparkline>
          </x14:sparklines>
        </x14:sparklineGroup>
        <x14:sparklineGroup xr2:uid="{3884BE8F-3F67-472F-AFF3-51789D6226BD}">
          <x14:colorSeries rgb="FF376092"/>
          <x14:colorNegative rgb="FFD00000"/>
          <x14:colorAxis rgb="FF000000"/>
          <x14:colorMarkers rgb="FFD00000"/>
          <x14:colorFirst rgb="FFD00000"/>
          <x14:colorLast rgb="FFD00000"/>
          <x14:colorHigh rgb="FFD00000"/>
          <x14:colorLow rgb="FFD00000"/>
          <x14:sparklines>
            <x14:sparkline>
              <xm:f>'Excel-Intermediate'!D784:H784</xm:f>
              <xm:sqref>I784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5D664-C9DB-4F85-9C8A-F3F272C8D7F0}">
  <sheetPr codeName="Sheet2"/>
  <dimension ref="B3:C7"/>
  <sheetViews>
    <sheetView workbookViewId="0">
      <selection activeCell="D7" sqref="D7"/>
    </sheetView>
  </sheetViews>
  <sheetFormatPr defaultRowHeight="15" x14ac:dyDescent="0.25"/>
  <cols>
    <col min="2" max="2" width="12.140625" style="2" bestFit="1" customWidth="1"/>
    <col min="3" max="3" width="23.28515625" style="2" bestFit="1" customWidth="1"/>
    <col min="4" max="4" width="12.42578125" bestFit="1" customWidth="1"/>
  </cols>
  <sheetData>
    <row r="3" spans="2:3" x14ac:dyDescent="0.25">
      <c r="B3" s="13" t="s">
        <v>22</v>
      </c>
    </row>
    <row r="4" spans="2:3" x14ac:dyDescent="0.25">
      <c r="B4" s="2" t="s">
        <v>17</v>
      </c>
      <c r="C4" s="2" t="s">
        <v>23</v>
      </c>
    </row>
    <row r="5" spans="2:3" x14ac:dyDescent="0.25">
      <c r="B5" s="2">
        <v>101</v>
      </c>
      <c r="C5" s="20" t="s">
        <v>24</v>
      </c>
    </row>
    <row r="6" spans="2:3" x14ac:dyDescent="0.25">
      <c r="B6" s="2">
        <v>102</v>
      </c>
      <c r="C6" s="20" t="s">
        <v>25</v>
      </c>
    </row>
    <row r="7" spans="2:3" x14ac:dyDescent="0.25">
      <c r="B7" s="2">
        <v>103</v>
      </c>
      <c r="C7" s="20" t="s">
        <v>26</v>
      </c>
    </row>
  </sheetData>
  <hyperlinks>
    <hyperlink ref="C5" r:id="rId1" xr:uid="{167216CD-57E9-4EC6-96F5-3DC3DD261481}"/>
    <hyperlink ref="C6" r:id="rId2" xr:uid="{CDD754BA-F48D-4C15-B276-2719AFC84059}"/>
    <hyperlink ref="C7" r:id="rId3" xr:uid="{90775C7A-B22D-4170-9759-813AF95F67F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DEC17-61E9-4AD3-A10E-F1AC48D72E89}">
  <sheetPr codeName="Sheet4"/>
  <dimension ref="A1:H117"/>
  <sheetViews>
    <sheetView topLeftCell="A37" workbookViewId="0">
      <selection activeCell="H3" sqref="H3"/>
    </sheetView>
  </sheetViews>
  <sheetFormatPr defaultRowHeight="15" x14ac:dyDescent="0.25"/>
  <cols>
    <col min="1" max="1" width="12" bestFit="1" customWidth="1"/>
    <col min="2" max="2" width="12.85546875" bestFit="1" customWidth="1"/>
    <col min="3" max="3" width="13.42578125" bestFit="1" customWidth="1"/>
    <col min="4" max="4" width="11.140625" bestFit="1" customWidth="1"/>
    <col min="5" max="5" width="17.42578125" bestFit="1" customWidth="1"/>
    <col min="6" max="6" width="23.5703125" bestFit="1" customWidth="1"/>
    <col min="7" max="7" width="15.85546875" style="31" bestFit="1" customWidth="1"/>
    <col min="8" max="8" width="18.28515625" style="31" bestFit="1" customWidth="1"/>
  </cols>
  <sheetData>
    <row r="1" spans="1:8" x14ac:dyDescent="0.25">
      <c r="A1" s="87" t="s">
        <v>253</v>
      </c>
      <c r="B1" s="88" t="s">
        <v>266</v>
      </c>
      <c r="C1" s="88" t="s">
        <v>267</v>
      </c>
      <c r="D1" s="88" t="s">
        <v>254</v>
      </c>
      <c r="E1" s="88" t="s">
        <v>268</v>
      </c>
      <c r="F1" s="88" t="s">
        <v>269</v>
      </c>
      <c r="G1" s="89" t="s">
        <v>255</v>
      </c>
      <c r="H1" s="90" t="s">
        <v>270</v>
      </c>
    </row>
    <row r="2" spans="1:8" x14ac:dyDescent="0.25">
      <c r="A2" s="25" t="s">
        <v>256</v>
      </c>
      <c r="B2" s="23" t="s">
        <v>271</v>
      </c>
      <c r="C2" s="23" t="s">
        <v>272</v>
      </c>
      <c r="D2" s="23" t="s">
        <v>258</v>
      </c>
      <c r="E2" s="23">
        <v>12</v>
      </c>
      <c r="F2" s="24">
        <v>45382</v>
      </c>
      <c r="G2" s="29">
        <v>1488000000</v>
      </c>
      <c r="H2" s="32">
        <v>996000000</v>
      </c>
    </row>
    <row r="3" spans="1:8" x14ac:dyDescent="0.25">
      <c r="A3" s="25" t="s">
        <v>260</v>
      </c>
      <c r="B3" s="23" t="s">
        <v>271</v>
      </c>
      <c r="C3" s="23" t="s">
        <v>273</v>
      </c>
      <c r="D3" s="23" t="s">
        <v>258</v>
      </c>
      <c r="E3" s="23">
        <v>12</v>
      </c>
      <c r="F3" s="24">
        <v>45350</v>
      </c>
      <c r="G3" s="29">
        <v>1680000000</v>
      </c>
      <c r="H3" s="32">
        <v>1020000000</v>
      </c>
    </row>
    <row r="4" spans="1:8" x14ac:dyDescent="0.25">
      <c r="A4" s="25" t="s">
        <v>263</v>
      </c>
      <c r="B4" s="23" t="s">
        <v>271</v>
      </c>
      <c r="C4" s="23" t="s">
        <v>274</v>
      </c>
      <c r="D4" s="23" t="s">
        <v>258</v>
      </c>
      <c r="E4" s="23">
        <v>3</v>
      </c>
      <c r="F4" s="24">
        <v>45322</v>
      </c>
      <c r="G4" s="29">
        <v>1254000000</v>
      </c>
      <c r="H4" s="32">
        <v>957000000</v>
      </c>
    </row>
    <row r="5" spans="1:8" x14ac:dyDescent="0.25">
      <c r="A5" s="25" t="s">
        <v>264</v>
      </c>
      <c r="B5" s="23" t="s">
        <v>257</v>
      </c>
      <c r="C5" s="23" t="s">
        <v>275</v>
      </c>
      <c r="D5" s="23" t="s">
        <v>258</v>
      </c>
      <c r="E5" s="23">
        <v>6</v>
      </c>
      <c r="F5" s="24">
        <v>45382</v>
      </c>
      <c r="G5" s="29">
        <v>840000000</v>
      </c>
      <c r="H5" s="32">
        <v>486000000</v>
      </c>
    </row>
    <row r="6" spans="1:8" x14ac:dyDescent="0.25">
      <c r="A6" s="25" t="s">
        <v>264</v>
      </c>
      <c r="B6" s="23" t="s">
        <v>257</v>
      </c>
      <c r="C6" s="23" t="s">
        <v>276</v>
      </c>
      <c r="D6" s="23" t="s">
        <v>258</v>
      </c>
      <c r="E6" s="23">
        <v>7</v>
      </c>
      <c r="F6" s="24">
        <v>45350</v>
      </c>
      <c r="G6" s="29">
        <v>868000000</v>
      </c>
      <c r="H6" s="32">
        <v>602000000</v>
      </c>
    </row>
    <row r="7" spans="1:8" x14ac:dyDescent="0.25">
      <c r="A7" s="25" t="s">
        <v>256</v>
      </c>
      <c r="B7" s="23" t="s">
        <v>257</v>
      </c>
      <c r="C7" s="23" t="s">
        <v>277</v>
      </c>
      <c r="D7" s="23" t="s">
        <v>258</v>
      </c>
      <c r="E7" s="23">
        <v>10</v>
      </c>
      <c r="F7" s="24">
        <v>45322</v>
      </c>
      <c r="G7" s="29">
        <v>1500000000</v>
      </c>
      <c r="H7" s="32">
        <v>810000000</v>
      </c>
    </row>
    <row r="8" spans="1:8" x14ac:dyDescent="0.25">
      <c r="A8" s="25" t="s">
        <v>260</v>
      </c>
      <c r="B8" s="23" t="s">
        <v>262</v>
      </c>
      <c r="C8" s="23" t="s">
        <v>278</v>
      </c>
      <c r="D8" s="23" t="s">
        <v>258</v>
      </c>
      <c r="E8" s="23">
        <v>10</v>
      </c>
      <c r="F8" s="24">
        <v>45382</v>
      </c>
      <c r="G8" s="29">
        <v>1490000000</v>
      </c>
      <c r="H8" s="32">
        <v>850000000</v>
      </c>
    </row>
    <row r="9" spans="1:8" x14ac:dyDescent="0.25">
      <c r="A9" s="25" t="s">
        <v>263</v>
      </c>
      <c r="B9" s="23" t="s">
        <v>262</v>
      </c>
      <c r="C9" s="23" t="s">
        <v>279</v>
      </c>
      <c r="D9" s="23" t="s">
        <v>258</v>
      </c>
      <c r="E9" s="23">
        <v>5</v>
      </c>
      <c r="F9" s="24">
        <v>45350</v>
      </c>
      <c r="G9" s="29">
        <v>585000000</v>
      </c>
      <c r="H9" s="32">
        <v>450000000</v>
      </c>
    </row>
    <row r="10" spans="1:8" x14ac:dyDescent="0.25">
      <c r="A10" s="25" t="s">
        <v>256</v>
      </c>
      <c r="B10" s="23" t="s">
        <v>280</v>
      </c>
      <c r="C10" s="23" t="s">
        <v>281</v>
      </c>
      <c r="D10" s="23" t="s">
        <v>258</v>
      </c>
      <c r="E10" s="23">
        <v>11</v>
      </c>
      <c r="F10" s="24">
        <v>45322</v>
      </c>
      <c r="G10" s="29">
        <v>1287000000</v>
      </c>
      <c r="H10" s="32">
        <v>968000000</v>
      </c>
    </row>
    <row r="11" spans="1:8" x14ac:dyDescent="0.25">
      <c r="A11" s="25" t="s">
        <v>260</v>
      </c>
      <c r="B11" s="23" t="s">
        <v>280</v>
      </c>
      <c r="C11" s="23" t="s">
        <v>282</v>
      </c>
      <c r="D11" s="23" t="s">
        <v>258</v>
      </c>
      <c r="E11" s="23">
        <v>5</v>
      </c>
      <c r="F11" s="24">
        <v>45382</v>
      </c>
      <c r="G11" s="29">
        <v>715000000</v>
      </c>
      <c r="H11" s="32">
        <v>410000000</v>
      </c>
    </row>
    <row r="12" spans="1:8" x14ac:dyDescent="0.25">
      <c r="A12" s="25" t="s">
        <v>263</v>
      </c>
      <c r="B12" s="23" t="s">
        <v>283</v>
      </c>
      <c r="C12" s="23" t="s">
        <v>284</v>
      </c>
      <c r="D12" s="23" t="s">
        <v>258</v>
      </c>
      <c r="E12" s="23">
        <v>6</v>
      </c>
      <c r="F12" s="24">
        <v>45350</v>
      </c>
      <c r="G12" s="29">
        <v>708000000</v>
      </c>
      <c r="H12" s="32">
        <v>540000000</v>
      </c>
    </row>
    <row r="13" spans="1:8" x14ac:dyDescent="0.25">
      <c r="A13" s="25" t="s">
        <v>264</v>
      </c>
      <c r="B13" s="23" t="s">
        <v>283</v>
      </c>
      <c r="C13" s="23" t="s">
        <v>285</v>
      </c>
      <c r="D13" s="23" t="s">
        <v>258</v>
      </c>
      <c r="E13" s="23">
        <v>6</v>
      </c>
      <c r="F13" s="24">
        <v>45322</v>
      </c>
      <c r="G13" s="29">
        <v>798000000</v>
      </c>
      <c r="H13" s="32">
        <v>510000000</v>
      </c>
    </row>
    <row r="14" spans="1:8" x14ac:dyDescent="0.25">
      <c r="A14" s="25" t="s">
        <v>264</v>
      </c>
      <c r="B14" s="23" t="s">
        <v>271</v>
      </c>
      <c r="C14" s="23" t="s">
        <v>272</v>
      </c>
      <c r="D14" s="23" t="s">
        <v>258</v>
      </c>
      <c r="E14" s="23">
        <v>11</v>
      </c>
      <c r="F14" s="24">
        <v>45382</v>
      </c>
      <c r="G14" s="29">
        <v>1342000000</v>
      </c>
      <c r="H14" s="32">
        <v>979000000</v>
      </c>
    </row>
    <row r="15" spans="1:8" x14ac:dyDescent="0.25">
      <c r="A15" s="25" t="s">
        <v>256</v>
      </c>
      <c r="B15" s="23" t="s">
        <v>271</v>
      </c>
      <c r="C15" s="23" t="s">
        <v>273</v>
      </c>
      <c r="D15" s="23" t="s">
        <v>258</v>
      </c>
      <c r="E15" s="23">
        <v>12</v>
      </c>
      <c r="F15" s="24">
        <v>45350</v>
      </c>
      <c r="G15" s="29">
        <v>1464000000</v>
      </c>
      <c r="H15" s="32">
        <v>1008000000</v>
      </c>
    </row>
    <row r="16" spans="1:8" x14ac:dyDescent="0.25">
      <c r="A16" s="25" t="s">
        <v>260</v>
      </c>
      <c r="B16" s="23" t="s">
        <v>271</v>
      </c>
      <c r="C16" s="23" t="s">
        <v>274</v>
      </c>
      <c r="D16" s="23" t="s">
        <v>258</v>
      </c>
      <c r="E16" s="23">
        <v>2</v>
      </c>
      <c r="F16" s="24">
        <v>45322</v>
      </c>
      <c r="G16" s="29">
        <v>1595000000</v>
      </c>
      <c r="H16" s="32">
        <v>957000000</v>
      </c>
    </row>
    <row r="17" spans="1:8" x14ac:dyDescent="0.25">
      <c r="A17" s="25" t="s">
        <v>263</v>
      </c>
      <c r="B17" s="23" t="s">
        <v>257</v>
      </c>
      <c r="C17" s="23" t="s">
        <v>275</v>
      </c>
      <c r="D17" s="23" t="s">
        <v>258</v>
      </c>
      <c r="E17" s="23">
        <v>6</v>
      </c>
      <c r="F17" s="24">
        <v>45382</v>
      </c>
      <c r="G17" s="29">
        <v>864000000</v>
      </c>
      <c r="H17" s="32">
        <v>534000000</v>
      </c>
    </row>
    <row r="18" spans="1:8" x14ac:dyDescent="0.25">
      <c r="A18" s="25" t="s">
        <v>256</v>
      </c>
      <c r="B18" s="23" t="s">
        <v>257</v>
      </c>
      <c r="C18" s="23" t="s">
        <v>276</v>
      </c>
      <c r="D18" s="23" t="s">
        <v>258</v>
      </c>
      <c r="E18" s="23">
        <v>10</v>
      </c>
      <c r="F18" s="24">
        <v>45350</v>
      </c>
      <c r="G18" s="29">
        <v>1270000000</v>
      </c>
      <c r="H18" s="32">
        <v>850000000</v>
      </c>
    </row>
    <row r="19" spans="1:8" x14ac:dyDescent="0.25">
      <c r="A19" s="25" t="s">
        <v>260</v>
      </c>
      <c r="B19" s="23" t="s">
        <v>257</v>
      </c>
      <c r="C19" s="23" t="s">
        <v>277</v>
      </c>
      <c r="D19" s="23" t="s">
        <v>258</v>
      </c>
      <c r="E19" s="23">
        <v>8</v>
      </c>
      <c r="F19" s="24">
        <v>45322</v>
      </c>
      <c r="G19" s="29">
        <v>832000000</v>
      </c>
      <c r="H19" s="32">
        <v>664000000</v>
      </c>
    </row>
    <row r="20" spans="1:8" x14ac:dyDescent="0.25">
      <c r="A20" s="25" t="s">
        <v>263</v>
      </c>
      <c r="B20" s="23" t="s">
        <v>262</v>
      </c>
      <c r="C20" s="23" t="s">
        <v>278</v>
      </c>
      <c r="D20" s="23" t="s">
        <v>258</v>
      </c>
      <c r="E20" s="23">
        <v>7</v>
      </c>
      <c r="F20" s="24">
        <v>45382</v>
      </c>
      <c r="G20" s="29">
        <v>721000000</v>
      </c>
      <c r="H20" s="32">
        <v>623000000</v>
      </c>
    </row>
    <row r="21" spans="1:8" x14ac:dyDescent="0.25">
      <c r="A21" s="25" t="s">
        <v>264</v>
      </c>
      <c r="B21" s="23" t="s">
        <v>262</v>
      </c>
      <c r="C21" s="23" t="s">
        <v>279</v>
      </c>
      <c r="D21" s="23" t="s">
        <v>258</v>
      </c>
      <c r="E21" s="23">
        <v>9</v>
      </c>
      <c r="F21" s="24">
        <v>45350</v>
      </c>
      <c r="G21" s="29">
        <v>927000000</v>
      </c>
      <c r="H21" s="32">
        <v>810000000</v>
      </c>
    </row>
    <row r="22" spans="1:8" x14ac:dyDescent="0.25">
      <c r="A22" s="25" t="s">
        <v>264</v>
      </c>
      <c r="B22" s="23" t="s">
        <v>280</v>
      </c>
      <c r="C22" s="23" t="s">
        <v>281</v>
      </c>
      <c r="D22" s="23" t="s">
        <v>258</v>
      </c>
      <c r="E22" s="23">
        <v>12</v>
      </c>
      <c r="F22" s="24">
        <v>45322</v>
      </c>
      <c r="G22" s="29">
        <v>1608000000</v>
      </c>
      <c r="H22" s="32">
        <v>996000000</v>
      </c>
    </row>
    <row r="23" spans="1:8" x14ac:dyDescent="0.25">
      <c r="A23" s="25" t="s">
        <v>256</v>
      </c>
      <c r="B23" s="23" t="s">
        <v>280</v>
      </c>
      <c r="C23" s="23" t="s">
        <v>282</v>
      </c>
      <c r="D23" s="23" t="s">
        <v>258</v>
      </c>
      <c r="E23" s="23">
        <v>10</v>
      </c>
      <c r="F23" s="24">
        <v>45382</v>
      </c>
      <c r="G23" s="29">
        <v>1420000000</v>
      </c>
      <c r="H23" s="32">
        <v>900000000</v>
      </c>
    </row>
    <row r="24" spans="1:8" x14ac:dyDescent="0.25">
      <c r="A24" s="25" t="s">
        <v>260</v>
      </c>
      <c r="B24" s="23" t="s">
        <v>283</v>
      </c>
      <c r="C24" s="23" t="s">
        <v>284</v>
      </c>
      <c r="D24" s="23" t="s">
        <v>258</v>
      </c>
      <c r="E24" s="23">
        <v>9</v>
      </c>
      <c r="F24" s="24">
        <v>45350</v>
      </c>
      <c r="G24" s="29">
        <v>1314000000</v>
      </c>
      <c r="H24" s="32">
        <v>810000000</v>
      </c>
    </row>
    <row r="25" spans="1:8" x14ac:dyDescent="0.25">
      <c r="A25" s="25" t="s">
        <v>263</v>
      </c>
      <c r="B25" s="23" t="s">
        <v>283</v>
      </c>
      <c r="C25" s="23" t="s">
        <v>285</v>
      </c>
      <c r="D25" s="23" t="s">
        <v>258</v>
      </c>
      <c r="E25" s="23">
        <v>11</v>
      </c>
      <c r="F25" s="24">
        <v>45322</v>
      </c>
      <c r="G25" s="29">
        <v>1573000000</v>
      </c>
      <c r="H25" s="32">
        <v>924000000</v>
      </c>
    </row>
    <row r="26" spans="1:8" x14ac:dyDescent="0.25">
      <c r="A26" s="25" t="s">
        <v>256</v>
      </c>
      <c r="B26" s="23" t="s">
        <v>271</v>
      </c>
      <c r="C26" s="23" t="s">
        <v>272</v>
      </c>
      <c r="D26" s="23" t="s">
        <v>258</v>
      </c>
      <c r="E26" s="23">
        <v>6</v>
      </c>
      <c r="F26" s="24">
        <v>45382</v>
      </c>
      <c r="G26" s="29">
        <v>654000000</v>
      </c>
      <c r="H26" s="32">
        <v>504000000</v>
      </c>
    </row>
    <row r="27" spans="1:8" x14ac:dyDescent="0.25">
      <c r="A27" s="25" t="s">
        <v>260</v>
      </c>
      <c r="B27" s="23" t="s">
        <v>271</v>
      </c>
      <c r="C27" s="23" t="s">
        <v>273</v>
      </c>
      <c r="D27" s="23" t="s">
        <v>258</v>
      </c>
      <c r="E27" s="23">
        <v>6</v>
      </c>
      <c r="F27" s="24">
        <v>45350</v>
      </c>
      <c r="G27" s="29">
        <v>678000000</v>
      </c>
      <c r="H27" s="32">
        <v>516000000</v>
      </c>
    </row>
    <row r="28" spans="1:8" x14ac:dyDescent="0.25">
      <c r="A28" s="25" t="s">
        <v>263</v>
      </c>
      <c r="B28" s="23" t="s">
        <v>271</v>
      </c>
      <c r="C28" s="23" t="s">
        <v>274</v>
      </c>
      <c r="D28" s="23" t="s">
        <v>258</v>
      </c>
      <c r="E28" s="23">
        <v>4</v>
      </c>
      <c r="F28" s="24">
        <v>45322</v>
      </c>
      <c r="G28" s="29">
        <v>864000000</v>
      </c>
      <c r="H28" s="32">
        <v>522000000</v>
      </c>
    </row>
    <row r="29" spans="1:8" x14ac:dyDescent="0.25">
      <c r="A29" s="25" t="s">
        <v>264</v>
      </c>
      <c r="B29" s="23" t="s">
        <v>257</v>
      </c>
      <c r="C29" s="23" t="s">
        <v>275</v>
      </c>
      <c r="D29" s="23" t="s">
        <v>258</v>
      </c>
      <c r="E29" s="23">
        <v>5</v>
      </c>
      <c r="F29" s="24">
        <v>45382</v>
      </c>
      <c r="G29" s="29">
        <v>655000000</v>
      </c>
      <c r="H29" s="32">
        <v>450000000</v>
      </c>
    </row>
    <row r="30" spans="1:8" x14ac:dyDescent="0.25">
      <c r="A30" s="25" t="s">
        <v>264</v>
      </c>
      <c r="B30" s="23" t="s">
        <v>257</v>
      </c>
      <c r="C30" s="23" t="s">
        <v>276</v>
      </c>
      <c r="D30" s="23" t="s">
        <v>258</v>
      </c>
      <c r="E30" s="23">
        <v>7</v>
      </c>
      <c r="F30" s="24">
        <v>45350</v>
      </c>
      <c r="G30" s="29">
        <v>777000000</v>
      </c>
      <c r="H30" s="32">
        <v>609000000</v>
      </c>
    </row>
    <row r="31" spans="1:8" x14ac:dyDescent="0.25">
      <c r="A31" s="25" t="s">
        <v>256</v>
      </c>
      <c r="B31" s="23" t="s">
        <v>257</v>
      </c>
      <c r="C31" s="23" t="s">
        <v>277</v>
      </c>
      <c r="D31" s="23" t="s">
        <v>258</v>
      </c>
      <c r="E31" s="23">
        <v>6</v>
      </c>
      <c r="F31" s="24">
        <v>45322</v>
      </c>
      <c r="G31" s="29">
        <v>798000000</v>
      </c>
      <c r="H31" s="32">
        <v>504000000</v>
      </c>
    </row>
    <row r="32" spans="1:8" x14ac:dyDescent="0.25">
      <c r="A32" s="25" t="s">
        <v>260</v>
      </c>
      <c r="B32" s="23" t="s">
        <v>262</v>
      </c>
      <c r="C32" s="23" t="s">
        <v>278</v>
      </c>
      <c r="D32" s="23" t="s">
        <v>258</v>
      </c>
      <c r="E32" s="23">
        <v>7</v>
      </c>
      <c r="F32" s="24">
        <v>45382</v>
      </c>
      <c r="G32" s="29">
        <v>917000000</v>
      </c>
      <c r="H32" s="32">
        <v>630000000</v>
      </c>
    </row>
    <row r="33" spans="1:8" x14ac:dyDescent="0.25">
      <c r="A33" s="25" t="s">
        <v>263</v>
      </c>
      <c r="B33" s="23" t="s">
        <v>262</v>
      </c>
      <c r="C33" s="23" t="s">
        <v>279</v>
      </c>
      <c r="D33" s="23" t="s">
        <v>258</v>
      </c>
      <c r="E33" s="23">
        <v>6</v>
      </c>
      <c r="F33" s="24">
        <v>45350</v>
      </c>
      <c r="G33" s="29">
        <v>834000000</v>
      </c>
      <c r="H33" s="32">
        <v>534000000</v>
      </c>
    </row>
    <row r="34" spans="1:8" x14ac:dyDescent="0.25">
      <c r="A34" s="25" t="s">
        <v>256</v>
      </c>
      <c r="B34" s="23" t="s">
        <v>280</v>
      </c>
      <c r="C34" s="23" t="s">
        <v>281</v>
      </c>
      <c r="D34" s="23" t="s">
        <v>258</v>
      </c>
      <c r="E34" s="23">
        <v>6</v>
      </c>
      <c r="F34" s="24">
        <v>45322</v>
      </c>
      <c r="G34" s="29">
        <v>732000000</v>
      </c>
      <c r="H34" s="32">
        <v>510000000</v>
      </c>
    </row>
    <row r="35" spans="1:8" x14ac:dyDescent="0.25">
      <c r="A35" s="25" t="s">
        <v>260</v>
      </c>
      <c r="B35" s="23" t="s">
        <v>280</v>
      </c>
      <c r="C35" s="23" t="s">
        <v>282</v>
      </c>
      <c r="D35" s="23" t="s">
        <v>258</v>
      </c>
      <c r="E35" s="23">
        <v>5</v>
      </c>
      <c r="F35" s="24">
        <v>45382</v>
      </c>
      <c r="G35" s="29">
        <v>730000000</v>
      </c>
      <c r="H35" s="32">
        <v>435000000</v>
      </c>
    </row>
    <row r="36" spans="1:8" x14ac:dyDescent="0.25">
      <c r="A36" s="25" t="s">
        <v>263</v>
      </c>
      <c r="B36" s="23" t="s">
        <v>283</v>
      </c>
      <c r="C36" s="23" t="s">
        <v>284</v>
      </c>
      <c r="D36" s="23" t="s">
        <v>258</v>
      </c>
      <c r="E36" s="23">
        <v>7</v>
      </c>
      <c r="F36" s="24">
        <v>45350</v>
      </c>
      <c r="G36" s="29">
        <v>966000000</v>
      </c>
      <c r="H36" s="32">
        <v>560000000</v>
      </c>
    </row>
    <row r="37" spans="1:8" x14ac:dyDescent="0.25">
      <c r="A37" s="25" t="s">
        <v>264</v>
      </c>
      <c r="B37" s="23" t="s">
        <v>283</v>
      </c>
      <c r="C37" s="23" t="s">
        <v>285</v>
      </c>
      <c r="D37" s="23" t="s">
        <v>258</v>
      </c>
      <c r="E37" s="23">
        <v>6</v>
      </c>
      <c r="F37" s="24">
        <v>45322</v>
      </c>
      <c r="G37" s="29">
        <v>786000000</v>
      </c>
      <c r="H37" s="32">
        <v>528000000</v>
      </c>
    </row>
    <row r="38" spans="1:8" x14ac:dyDescent="0.25">
      <c r="A38" s="25" t="s">
        <v>264</v>
      </c>
      <c r="B38" s="23" t="s">
        <v>271</v>
      </c>
      <c r="C38" s="23" t="s">
        <v>272</v>
      </c>
      <c r="D38" s="23" t="s">
        <v>259</v>
      </c>
      <c r="E38" s="23">
        <v>6</v>
      </c>
      <c r="F38" s="24">
        <v>45382</v>
      </c>
      <c r="G38" s="29">
        <v>834000000</v>
      </c>
      <c r="H38" s="32">
        <v>510000000</v>
      </c>
    </row>
    <row r="39" spans="1:8" x14ac:dyDescent="0.25">
      <c r="A39" s="25" t="s">
        <v>256</v>
      </c>
      <c r="B39" s="23" t="s">
        <v>271</v>
      </c>
      <c r="C39" s="23" t="s">
        <v>273</v>
      </c>
      <c r="D39" s="23" t="s">
        <v>259</v>
      </c>
      <c r="E39" s="23">
        <v>6</v>
      </c>
      <c r="F39" s="24">
        <v>45350</v>
      </c>
      <c r="G39" s="29">
        <v>672000000</v>
      </c>
      <c r="H39" s="32">
        <v>492000000</v>
      </c>
    </row>
    <row r="40" spans="1:8" x14ac:dyDescent="0.25">
      <c r="A40" s="25" t="s">
        <v>260</v>
      </c>
      <c r="B40" s="23" t="s">
        <v>271</v>
      </c>
      <c r="C40" s="23" t="s">
        <v>274</v>
      </c>
      <c r="D40" s="23" t="s">
        <v>259</v>
      </c>
      <c r="E40" s="23">
        <v>8</v>
      </c>
      <c r="F40" s="24">
        <v>45322</v>
      </c>
      <c r="G40" s="29">
        <v>960000000</v>
      </c>
      <c r="H40" s="32">
        <v>664000000</v>
      </c>
    </row>
    <row r="41" spans="1:8" x14ac:dyDescent="0.25">
      <c r="A41" s="25" t="s">
        <v>263</v>
      </c>
      <c r="B41" s="23" t="s">
        <v>257</v>
      </c>
      <c r="C41" s="23" t="s">
        <v>275</v>
      </c>
      <c r="D41" s="23" t="s">
        <v>259</v>
      </c>
      <c r="E41" s="23">
        <v>9</v>
      </c>
      <c r="F41" s="24">
        <v>45382</v>
      </c>
      <c r="G41" s="29">
        <v>1080000000</v>
      </c>
      <c r="H41" s="32">
        <v>738000000</v>
      </c>
    </row>
    <row r="42" spans="1:8" x14ac:dyDescent="0.25">
      <c r="A42" s="25" t="s">
        <v>256</v>
      </c>
      <c r="B42" s="23" t="s">
        <v>257</v>
      </c>
      <c r="C42" s="23" t="s">
        <v>276</v>
      </c>
      <c r="D42" s="23" t="s">
        <v>259</v>
      </c>
      <c r="E42" s="23">
        <v>11</v>
      </c>
      <c r="F42" s="24">
        <v>45350</v>
      </c>
      <c r="G42" s="29">
        <v>1606000000</v>
      </c>
      <c r="H42" s="32">
        <v>924000000</v>
      </c>
    </row>
    <row r="43" spans="1:8" x14ac:dyDescent="0.25">
      <c r="A43" s="25" t="s">
        <v>260</v>
      </c>
      <c r="B43" s="23" t="s">
        <v>257</v>
      </c>
      <c r="C43" s="23" t="s">
        <v>277</v>
      </c>
      <c r="D43" s="23" t="s">
        <v>259</v>
      </c>
      <c r="E43" s="23">
        <v>12</v>
      </c>
      <c r="F43" s="24">
        <v>45322</v>
      </c>
      <c r="G43" s="29">
        <v>1692000000</v>
      </c>
      <c r="H43" s="32">
        <v>984000000</v>
      </c>
    </row>
    <row r="44" spans="1:8" x14ac:dyDescent="0.25">
      <c r="A44" s="25" t="s">
        <v>263</v>
      </c>
      <c r="B44" s="23" t="s">
        <v>262</v>
      </c>
      <c r="C44" s="23" t="s">
        <v>278</v>
      </c>
      <c r="D44" s="23" t="s">
        <v>259</v>
      </c>
      <c r="E44" s="23">
        <v>6</v>
      </c>
      <c r="F44" s="24">
        <v>45382</v>
      </c>
      <c r="G44" s="29">
        <v>780000000</v>
      </c>
      <c r="H44" s="32">
        <v>498000000</v>
      </c>
    </row>
    <row r="45" spans="1:8" x14ac:dyDescent="0.25">
      <c r="A45" s="25" t="s">
        <v>264</v>
      </c>
      <c r="B45" s="23" t="s">
        <v>262</v>
      </c>
      <c r="C45" s="23" t="s">
        <v>279</v>
      </c>
      <c r="D45" s="23" t="s">
        <v>259</v>
      </c>
      <c r="E45" s="23">
        <v>11</v>
      </c>
      <c r="F45" s="24">
        <v>45350</v>
      </c>
      <c r="G45" s="29">
        <v>1507000000</v>
      </c>
      <c r="H45" s="32">
        <v>902000000</v>
      </c>
    </row>
    <row r="46" spans="1:8" x14ac:dyDescent="0.25">
      <c r="A46" s="25" t="s">
        <v>264</v>
      </c>
      <c r="B46" s="23" t="s">
        <v>280</v>
      </c>
      <c r="C46" s="23" t="s">
        <v>281</v>
      </c>
      <c r="D46" s="23" t="s">
        <v>259</v>
      </c>
      <c r="E46" s="23">
        <v>7</v>
      </c>
      <c r="F46" s="24">
        <v>45322</v>
      </c>
      <c r="G46" s="29">
        <v>854000000</v>
      </c>
      <c r="H46" s="32">
        <v>567000000</v>
      </c>
    </row>
    <row r="47" spans="1:8" x14ac:dyDescent="0.25">
      <c r="A47" s="25" t="s">
        <v>256</v>
      </c>
      <c r="B47" s="23" t="s">
        <v>280</v>
      </c>
      <c r="C47" s="23" t="s">
        <v>282</v>
      </c>
      <c r="D47" s="23" t="s">
        <v>259</v>
      </c>
      <c r="E47" s="23">
        <v>10</v>
      </c>
      <c r="F47" s="24">
        <v>45382</v>
      </c>
      <c r="G47" s="29">
        <v>1480000000</v>
      </c>
      <c r="H47" s="32">
        <v>860000000</v>
      </c>
    </row>
    <row r="48" spans="1:8" x14ac:dyDescent="0.25">
      <c r="A48" s="25" t="s">
        <v>260</v>
      </c>
      <c r="B48" s="23" t="s">
        <v>283</v>
      </c>
      <c r="C48" s="23" t="s">
        <v>284</v>
      </c>
      <c r="D48" s="23" t="s">
        <v>259</v>
      </c>
      <c r="E48" s="23">
        <v>9</v>
      </c>
      <c r="F48" s="24">
        <v>45350</v>
      </c>
      <c r="G48" s="29">
        <v>1233000000</v>
      </c>
      <c r="H48" s="32">
        <v>756000000</v>
      </c>
    </row>
    <row r="49" spans="1:8" x14ac:dyDescent="0.25">
      <c r="A49" s="25" t="s">
        <v>263</v>
      </c>
      <c r="B49" s="23" t="s">
        <v>283</v>
      </c>
      <c r="C49" s="23" t="s">
        <v>285</v>
      </c>
      <c r="D49" s="23" t="s">
        <v>259</v>
      </c>
      <c r="E49" s="23">
        <v>12</v>
      </c>
      <c r="F49" s="24">
        <v>45322</v>
      </c>
      <c r="G49" s="29">
        <v>1404000000</v>
      </c>
      <c r="H49" s="32">
        <v>1020000000</v>
      </c>
    </row>
    <row r="50" spans="1:8" x14ac:dyDescent="0.25">
      <c r="A50" s="25" t="s">
        <v>256</v>
      </c>
      <c r="B50" s="23" t="s">
        <v>271</v>
      </c>
      <c r="C50" s="23" t="s">
        <v>272</v>
      </c>
      <c r="D50" s="23" t="s">
        <v>259</v>
      </c>
      <c r="E50" s="23">
        <v>5</v>
      </c>
      <c r="F50" s="24">
        <v>45382</v>
      </c>
      <c r="G50" s="29">
        <v>730000000</v>
      </c>
      <c r="H50" s="32">
        <v>450000000</v>
      </c>
    </row>
    <row r="51" spans="1:8" x14ac:dyDescent="0.25">
      <c r="A51" s="25" t="s">
        <v>260</v>
      </c>
      <c r="B51" s="23" t="s">
        <v>271</v>
      </c>
      <c r="C51" s="23" t="s">
        <v>273</v>
      </c>
      <c r="D51" s="23" t="s">
        <v>259</v>
      </c>
      <c r="E51" s="23">
        <v>7</v>
      </c>
      <c r="F51" s="24">
        <v>45350</v>
      </c>
      <c r="G51" s="29">
        <v>980000000</v>
      </c>
      <c r="H51" s="32">
        <v>630000000</v>
      </c>
    </row>
    <row r="52" spans="1:8" x14ac:dyDescent="0.25">
      <c r="A52" s="25" t="s">
        <v>263</v>
      </c>
      <c r="B52" s="23" t="s">
        <v>271</v>
      </c>
      <c r="C52" s="23" t="s">
        <v>274</v>
      </c>
      <c r="D52" s="23" t="s">
        <v>259</v>
      </c>
      <c r="E52" s="23">
        <v>11</v>
      </c>
      <c r="F52" s="24">
        <v>45322</v>
      </c>
      <c r="G52" s="29">
        <v>1375000000</v>
      </c>
      <c r="H52" s="32">
        <v>957000000</v>
      </c>
    </row>
    <row r="53" spans="1:8" x14ac:dyDescent="0.25">
      <c r="A53" s="25" t="s">
        <v>264</v>
      </c>
      <c r="B53" s="23" t="s">
        <v>257</v>
      </c>
      <c r="C53" s="23" t="s">
        <v>275</v>
      </c>
      <c r="D53" s="23" t="s">
        <v>259</v>
      </c>
      <c r="E53" s="23">
        <v>10</v>
      </c>
      <c r="F53" s="24">
        <v>45382</v>
      </c>
      <c r="G53" s="29">
        <v>1410000000</v>
      </c>
      <c r="H53" s="32">
        <v>820000000</v>
      </c>
    </row>
    <row r="54" spans="1:8" x14ac:dyDescent="0.25">
      <c r="A54" s="25" t="s">
        <v>264</v>
      </c>
      <c r="B54" s="23" t="s">
        <v>257</v>
      </c>
      <c r="C54" s="23" t="s">
        <v>276</v>
      </c>
      <c r="D54" s="23" t="s">
        <v>259</v>
      </c>
      <c r="E54" s="23">
        <v>10</v>
      </c>
      <c r="F54" s="24">
        <v>45350</v>
      </c>
      <c r="G54" s="29">
        <v>1410000000</v>
      </c>
      <c r="H54" s="32">
        <v>830000000</v>
      </c>
    </row>
    <row r="55" spans="1:8" x14ac:dyDescent="0.25">
      <c r="A55" s="25" t="s">
        <v>256</v>
      </c>
      <c r="B55" s="23" t="s">
        <v>257</v>
      </c>
      <c r="C55" s="23" t="s">
        <v>277</v>
      </c>
      <c r="D55" s="23" t="s">
        <v>259</v>
      </c>
      <c r="E55" s="23">
        <v>6</v>
      </c>
      <c r="F55" s="24">
        <v>45322</v>
      </c>
      <c r="G55" s="29">
        <v>858000000</v>
      </c>
      <c r="H55" s="32">
        <v>528000000</v>
      </c>
    </row>
    <row r="56" spans="1:8" x14ac:dyDescent="0.25">
      <c r="A56" s="25" t="s">
        <v>260</v>
      </c>
      <c r="B56" s="23" t="s">
        <v>262</v>
      </c>
      <c r="C56" s="23" t="s">
        <v>278</v>
      </c>
      <c r="D56" s="23" t="s">
        <v>259</v>
      </c>
      <c r="E56" s="23">
        <v>10</v>
      </c>
      <c r="F56" s="24">
        <v>45382</v>
      </c>
      <c r="G56" s="29">
        <v>1220000000</v>
      </c>
      <c r="H56" s="32">
        <v>810000000</v>
      </c>
    </row>
    <row r="57" spans="1:8" x14ac:dyDescent="0.25">
      <c r="A57" s="25" t="s">
        <v>263</v>
      </c>
      <c r="B57" s="23" t="s">
        <v>262</v>
      </c>
      <c r="C57" s="23" t="s">
        <v>279</v>
      </c>
      <c r="D57" s="23" t="s">
        <v>259</v>
      </c>
      <c r="E57" s="23">
        <v>6</v>
      </c>
      <c r="F57" s="24">
        <v>45350</v>
      </c>
      <c r="G57" s="29">
        <v>720000000</v>
      </c>
      <c r="H57" s="32">
        <v>504000000</v>
      </c>
    </row>
    <row r="58" spans="1:8" x14ac:dyDescent="0.25">
      <c r="A58" s="25" t="s">
        <v>256</v>
      </c>
      <c r="B58" s="23" t="s">
        <v>280</v>
      </c>
      <c r="C58" s="23" t="s">
        <v>281</v>
      </c>
      <c r="D58" s="23" t="s">
        <v>259</v>
      </c>
      <c r="E58" s="23">
        <v>6</v>
      </c>
      <c r="F58" s="24">
        <v>45322</v>
      </c>
      <c r="G58" s="29">
        <v>714000000</v>
      </c>
      <c r="H58" s="32">
        <v>522000000</v>
      </c>
    </row>
    <row r="59" spans="1:8" x14ac:dyDescent="0.25">
      <c r="A59" s="25" t="s">
        <v>260</v>
      </c>
      <c r="B59" s="23" t="s">
        <v>280</v>
      </c>
      <c r="C59" s="23" t="s">
        <v>282</v>
      </c>
      <c r="D59" s="23" t="s">
        <v>259</v>
      </c>
      <c r="E59" s="23">
        <v>12</v>
      </c>
      <c r="F59" s="24">
        <v>45382</v>
      </c>
      <c r="G59" s="29">
        <v>1584000000</v>
      </c>
      <c r="H59" s="32">
        <v>1020000000</v>
      </c>
    </row>
    <row r="60" spans="1:8" x14ac:dyDescent="0.25">
      <c r="A60" s="25" t="s">
        <v>263</v>
      </c>
      <c r="B60" s="23" t="s">
        <v>283</v>
      </c>
      <c r="C60" s="23" t="s">
        <v>284</v>
      </c>
      <c r="D60" s="23" t="s">
        <v>259</v>
      </c>
      <c r="E60" s="23">
        <v>10</v>
      </c>
      <c r="F60" s="24">
        <v>45350</v>
      </c>
      <c r="G60" s="29">
        <v>1440000000</v>
      </c>
      <c r="H60" s="32">
        <v>890000000</v>
      </c>
    </row>
    <row r="61" spans="1:8" x14ac:dyDescent="0.25">
      <c r="A61" s="25" t="s">
        <v>264</v>
      </c>
      <c r="B61" s="23" t="s">
        <v>283</v>
      </c>
      <c r="C61" s="23" t="s">
        <v>285</v>
      </c>
      <c r="D61" s="23" t="s">
        <v>259</v>
      </c>
      <c r="E61" s="23">
        <v>7</v>
      </c>
      <c r="F61" s="24">
        <v>45322</v>
      </c>
      <c r="G61" s="29">
        <v>966000000</v>
      </c>
      <c r="H61" s="32">
        <v>588000000</v>
      </c>
    </row>
    <row r="62" spans="1:8" x14ac:dyDescent="0.25">
      <c r="A62" s="25" t="s">
        <v>264</v>
      </c>
      <c r="B62" s="23" t="s">
        <v>271</v>
      </c>
      <c r="C62" s="23" t="s">
        <v>272</v>
      </c>
      <c r="D62" s="23" t="s">
        <v>259</v>
      </c>
      <c r="E62" s="23">
        <v>8</v>
      </c>
      <c r="F62" s="24">
        <v>45382</v>
      </c>
      <c r="G62" s="29">
        <v>920000000</v>
      </c>
      <c r="H62" s="32">
        <v>672000000</v>
      </c>
    </row>
    <row r="63" spans="1:8" x14ac:dyDescent="0.25">
      <c r="A63" s="25" t="s">
        <v>256</v>
      </c>
      <c r="B63" s="23" t="s">
        <v>271</v>
      </c>
      <c r="C63" s="23" t="s">
        <v>273</v>
      </c>
      <c r="D63" s="23" t="s">
        <v>259</v>
      </c>
      <c r="E63" s="23">
        <v>12</v>
      </c>
      <c r="F63" s="24">
        <v>45350</v>
      </c>
      <c r="G63" s="29">
        <v>1284000000</v>
      </c>
      <c r="H63" s="32">
        <v>1056000000</v>
      </c>
    </row>
    <row r="64" spans="1:8" x14ac:dyDescent="0.25">
      <c r="A64" s="25" t="s">
        <v>260</v>
      </c>
      <c r="B64" s="23" t="s">
        <v>271</v>
      </c>
      <c r="C64" s="23" t="s">
        <v>274</v>
      </c>
      <c r="D64" s="23" t="s">
        <v>259</v>
      </c>
      <c r="E64" s="23">
        <v>9</v>
      </c>
      <c r="F64" s="24">
        <v>45322</v>
      </c>
      <c r="G64" s="29">
        <v>1233000000</v>
      </c>
      <c r="H64" s="32">
        <v>774000000</v>
      </c>
    </row>
    <row r="65" spans="1:8" x14ac:dyDescent="0.25">
      <c r="A65" s="25" t="s">
        <v>263</v>
      </c>
      <c r="B65" s="23" t="s">
        <v>257</v>
      </c>
      <c r="C65" s="23" t="s">
        <v>275</v>
      </c>
      <c r="D65" s="23" t="s">
        <v>259</v>
      </c>
      <c r="E65" s="23">
        <v>12</v>
      </c>
      <c r="F65" s="24">
        <v>45382</v>
      </c>
      <c r="G65" s="29">
        <v>1728000000</v>
      </c>
      <c r="H65" s="32">
        <v>972000000</v>
      </c>
    </row>
    <row r="66" spans="1:8" x14ac:dyDescent="0.25">
      <c r="A66" s="25" t="s">
        <v>256</v>
      </c>
      <c r="B66" s="23" t="s">
        <v>257</v>
      </c>
      <c r="C66" s="23" t="s">
        <v>276</v>
      </c>
      <c r="D66" s="23" t="s">
        <v>259</v>
      </c>
      <c r="E66" s="23">
        <v>6</v>
      </c>
      <c r="F66" s="24">
        <v>45350</v>
      </c>
      <c r="G66" s="29">
        <v>744000000</v>
      </c>
      <c r="H66" s="32">
        <v>498000000</v>
      </c>
    </row>
    <row r="67" spans="1:8" x14ac:dyDescent="0.25">
      <c r="A67" s="25" t="s">
        <v>260</v>
      </c>
      <c r="B67" s="23" t="s">
        <v>257</v>
      </c>
      <c r="C67" s="23" t="s">
        <v>277</v>
      </c>
      <c r="D67" s="23" t="s">
        <v>259</v>
      </c>
      <c r="E67" s="23">
        <v>5</v>
      </c>
      <c r="F67" s="24">
        <v>45322</v>
      </c>
      <c r="G67" s="29">
        <v>720000000</v>
      </c>
      <c r="H67" s="32">
        <v>440000000</v>
      </c>
    </row>
    <row r="68" spans="1:8" x14ac:dyDescent="0.25">
      <c r="A68" s="25" t="s">
        <v>263</v>
      </c>
      <c r="B68" s="23" t="s">
        <v>262</v>
      </c>
      <c r="C68" s="23" t="s">
        <v>278</v>
      </c>
      <c r="D68" s="23" t="s">
        <v>259</v>
      </c>
      <c r="E68" s="23">
        <v>11</v>
      </c>
      <c r="F68" s="24">
        <v>45382</v>
      </c>
      <c r="G68" s="29">
        <v>1529000000</v>
      </c>
      <c r="H68" s="32">
        <v>913000000</v>
      </c>
    </row>
    <row r="69" spans="1:8" x14ac:dyDescent="0.25">
      <c r="A69" s="25" t="s">
        <v>264</v>
      </c>
      <c r="B69" s="23" t="s">
        <v>262</v>
      </c>
      <c r="C69" s="23" t="s">
        <v>279</v>
      </c>
      <c r="D69" s="23" t="s">
        <v>259</v>
      </c>
      <c r="E69" s="23">
        <v>11</v>
      </c>
      <c r="F69" s="24">
        <v>45350</v>
      </c>
      <c r="G69" s="29">
        <v>1441000000</v>
      </c>
      <c r="H69" s="32">
        <v>946000000</v>
      </c>
    </row>
    <row r="70" spans="1:8" x14ac:dyDescent="0.25">
      <c r="A70" s="25" t="s">
        <v>264</v>
      </c>
      <c r="B70" s="23" t="s">
        <v>280</v>
      </c>
      <c r="C70" s="23" t="s">
        <v>281</v>
      </c>
      <c r="D70" s="23" t="s">
        <v>259</v>
      </c>
      <c r="E70" s="23">
        <v>6</v>
      </c>
      <c r="F70" s="24">
        <v>45322</v>
      </c>
      <c r="G70" s="29">
        <v>828000000</v>
      </c>
      <c r="H70" s="32">
        <v>522000000</v>
      </c>
    </row>
    <row r="71" spans="1:8" x14ac:dyDescent="0.25">
      <c r="A71" s="25" t="s">
        <v>256</v>
      </c>
      <c r="B71" s="23" t="s">
        <v>280</v>
      </c>
      <c r="C71" s="23" t="s">
        <v>282</v>
      </c>
      <c r="D71" s="23" t="s">
        <v>259</v>
      </c>
      <c r="E71" s="23">
        <v>11</v>
      </c>
      <c r="F71" s="24">
        <v>45382</v>
      </c>
      <c r="G71" s="29">
        <v>1375000000</v>
      </c>
      <c r="H71" s="32">
        <v>880000000</v>
      </c>
    </row>
    <row r="72" spans="1:8" x14ac:dyDescent="0.25">
      <c r="A72" s="25" t="s">
        <v>260</v>
      </c>
      <c r="B72" s="23" t="s">
        <v>283</v>
      </c>
      <c r="C72" s="23" t="s">
        <v>284</v>
      </c>
      <c r="D72" s="23" t="s">
        <v>259</v>
      </c>
      <c r="E72" s="23">
        <v>5</v>
      </c>
      <c r="F72" s="24">
        <v>45350</v>
      </c>
      <c r="G72" s="29">
        <v>510000000</v>
      </c>
      <c r="H72" s="32">
        <v>430000000</v>
      </c>
    </row>
    <row r="73" spans="1:8" x14ac:dyDescent="0.25">
      <c r="A73" s="25" t="s">
        <v>263</v>
      </c>
      <c r="B73" s="23" t="s">
        <v>283</v>
      </c>
      <c r="C73" s="23" t="s">
        <v>285</v>
      </c>
      <c r="D73" s="23" t="s">
        <v>259</v>
      </c>
      <c r="E73" s="23">
        <v>12</v>
      </c>
      <c r="F73" s="24">
        <v>45322</v>
      </c>
      <c r="G73" s="29">
        <v>1728000000</v>
      </c>
      <c r="H73" s="32">
        <v>996000000</v>
      </c>
    </row>
    <row r="74" spans="1:8" x14ac:dyDescent="0.25">
      <c r="A74" s="25" t="s">
        <v>256</v>
      </c>
      <c r="B74" s="23" t="s">
        <v>271</v>
      </c>
      <c r="C74" s="23" t="s">
        <v>272</v>
      </c>
      <c r="D74" s="23" t="s">
        <v>261</v>
      </c>
      <c r="E74" s="23">
        <v>9</v>
      </c>
      <c r="F74" s="24">
        <v>45382</v>
      </c>
      <c r="G74" s="29">
        <v>1323000000</v>
      </c>
      <c r="H74" s="32">
        <v>747000000</v>
      </c>
    </row>
    <row r="75" spans="1:8" x14ac:dyDescent="0.25">
      <c r="A75" s="25" t="s">
        <v>260</v>
      </c>
      <c r="B75" s="23" t="s">
        <v>271</v>
      </c>
      <c r="C75" s="23" t="s">
        <v>273</v>
      </c>
      <c r="D75" s="23" t="s">
        <v>261</v>
      </c>
      <c r="E75" s="23">
        <v>12</v>
      </c>
      <c r="F75" s="24">
        <v>45350</v>
      </c>
      <c r="G75" s="29">
        <v>1248000000</v>
      </c>
      <c r="H75" s="32">
        <v>1056000000</v>
      </c>
    </row>
    <row r="76" spans="1:8" x14ac:dyDescent="0.25">
      <c r="A76" s="25" t="s">
        <v>263</v>
      </c>
      <c r="B76" s="23" t="s">
        <v>271</v>
      </c>
      <c r="C76" s="23" t="s">
        <v>274</v>
      </c>
      <c r="D76" s="23" t="s">
        <v>261</v>
      </c>
      <c r="E76" s="23">
        <v>5</v>
      </c>
      <c r="F76" s="24">
        <v>45322</v>
      </c>
      <c r="G76" s="29">
        <v>685000000</v>
      </c>
      <c r="H76" s="32">
        <v>440000000</v>
      </c>
    </row>
    <row r="77" spans="1:8" x14ac:dyDescent="0.25">
      <c r="A77" s="25" t="s">
        <v>264</v>
      </c>
      <c r="B77" s="23" t="s">
        <v>257</v>
      </c>
      <c r="C77" s="23" t="s">
        <v>275</v>
      </c>
      <c r="D77" s="23" t="s">
        <v>261</v>
      </c>
      <c r="E77" s="23">
        <v>5</v>
      </c>
      <c r="F77" s="24">
        <v>45382</v>
      </c>
      <c r="G77" s="29">
        <v>540000000</v>
      </c>
      <c r="H77" s="32">
        <v>430000000</v>
      </c>
    </row>
    <row r="78" spans="1:8" x14ac:dyDescent="0.25">
      <c r="A78" s="25" t="s">
        <v>264</v>
      </c>
      <c r="B78" s="23" t="s">
        <v>257</v>
      </c>
      <c r="C78" s="23" t="s">
        <v>276</v>
      </c>
      <c r="D78" s="23" t="s">
        <v>261</v>
      </c>
      <c r="E78" s="23">
        <v>5</v>
      </c>
      <c r="F78" s="24">
        <v>45350</v>
      </c>
      <c r="G78" s="29">
        <v>655000000</v>
      </c>
      <c r="H78" s="32">
        <v>415000000</v>
      </c>
    </row>
    <row r="79" spans="1:8" x14ac:dyDescent="0.25">
      <c r="A79" s="25" t="s">
        <v>256</v>
      </c>
      <c r="B79" s="23" t="s">
        <v>257</v>
      </c>
      <c r="C79" s="23" t="s">
        <v>277</v>
      </c>
      <c r="D79" s="23" t="s">
        <v>261</v>
      </c>
      <c r="E79" s="23">
        <v>8</v>
      </c>
      <c r="F79" s="24">
        <v>45322</v>
      </c>
      <c r="G79" s="29">
        <v>968000000</v>
      </c>
      <c r="H79" s="32">
        <v>712000000</v>
      </c>
    </row>
    <row r="80" spans="1:8" x14ac:dyDescent="0.25">
      <c r="A80" s="25" t="s">
        <v>260</v>
      </c>
      <c r="B80" s="23" t="s">
        <v>262</v>
      </c>
      <c r="C80" s="23" t="s">
        <v>278</v>
      </c>
      <c r="D80" s="23" t="s">
        <v>261</v>
      </c>
      <c r="E80" s="23">
        <v>7</v>
      </c>
      <c r="F80" s="24">
        <v>45382</v>
      </c>
      <c r="G80" s="29">
        <v>882000000</v>
      </c>
      <c r="H80" s="32">
        <v>581000000</v>
      </c>
    </row>
    <row r="81" spans="1:8" x14ac:dyDescent="0.25">
      <c r="A81" s="25" t="s">
        <v>263</v>
      </c>
      <c r="B81" s="23" t="s">
        <v>262</v>
      </c>
      <c r="C81" s="23" t="s">
        <v>279</v>
      </c>
      <c r="D81" s="23" t="s">
        <v>261</v>
      </c>
      <c r="E81" s="23">
        <v>5</v>
      </c>
      <c r="F81" s="24">
        <v>45350</v>
      </c>
      <c r="G81" s="29">
        <v>745000000</v>
      </c>
      <c r="H81" s="32">
        <v>425000000</v>
      </c>
    </row>
    <row r="82" spans="1:8" x14ac:dyDescent="0.25">
      <c r="A82" s="25" t="s">
        <v>256</v>
      </c>
      <c r="B82" s="23" t="s">
        <v>280</v>
      </c>
      <c r="C82" s="23" t="s">
        <v>281</v>
      </c>
      <c r="D82" s="23" t="s">
        <v>261</v>
      </c>
      <c r="E82" s="23">
        <v>10</v>
      </c>
      <c r="F82" s="24">
        <v>45322</v>
      </c>
      <c r="G82" s="29">
        <v>1100000000</v>
      </c>
      <c r="H82" s="32">
        <v>820000000</v>
      </c>
    </row>
    <row r="83" spans="1:8" x14ac:dyDescent="0.25">
      <c r="A83" s="25" t="s">
        <v>260</v>
      </c>
      <c r="B83" s="23" t="s">
        <v>280</v>
      </c>
      <c r="C83" s="23" t="s">
        <v>282</v>
      </c>
      <c r="D83" s="23" t="s">
        <v>261</v>
      </c>
      <c r="E83" s="23">
        <v>6</v>
      </c>
      <c r="F83" s="24">
        <v>45382</v>
      </c>
      <c r="G83" s="29">
        <v>696000000</v>
      </c>
      <c r="H83" s="32">
        <v>528000000</v>
      </c>
    </row>
    <row r="84" spans="1:8" x14ac:dyDescent="0.25">
      <c r="A84" s="25" t="s">
        <v>263</v>
      </c>
      <c r="B84" s="23" t="s">
        <v>283</v>
      </c>
      <c r="C84" s="23" t="s">
        <v>284</v>
      </c>
      <c r="D84" s="23" t="s">
        <v>261</v>
      </c>
      <c r="E84" s="23">
        <v>7</v>
      </c>
      <c r="F84" s="24">
        <v>45350</v>
      </c>
      <c r="G84" s="29">
        <v>742000000</v>
      </c>
      <c r="H84" s="32">
        <v>602000000</v>
      </c>
    </row>
    <row r="85" spans="1:8" x14ac:dyDescent="0.25">
      <c r="A85" s="25" t="s">
        <v>264</v>
      </c>
      <c r="B85" s="23" t="s">
        <v>283</v>
      </c>
      <c r="C85" s="23" t="s">
        <v>285</v>
      </c>
      <c r="D85" s="23" t="s">
        <v>261</v>
      </c>
      <c r="E85" s="23">
        <v>6</v>
      </c>
      <c r="F85" s="24">
        <v>45322</v>
      </c>
      <c r="G85" s="29">
        <v>606000000</v>
      </c>
      <c r="H85" s="32">
        <v>504000000</v>
      </c>
    </row>
    <row r="86" spans="1:8" x14ac:dyDescent="0.25">
      <c r="A86" s="25" t="s">
        <v>264</v>
      </c>
      <c r="B86" s="23" t="s">
        <v>271</v>
      </c>
      <c r="C86" s="23" t="s">
        <v>272</v>
      </c>
      <c r="D86" s="23" t="s">
        <v>261</v>
      </c>
      <c r="E86" s="23">
        <v>10</v>
      </c>
      <c r="F86" s="24">
        <v>45382</v>
      </c>
      <c r="G86" s="29">
        <v>1040000000</v>
      </c>
      <c r="H86" s="32">
        <v>830000000</v>
      </c>
    </row>
    <row r="87" spans="1:8" x14ac:dyDescent="0.25">
      <c r="A87" s="25" t="s">
        <v>256</v>
      </c>
      <c r="B87" s="23" t="s">
        <v>271</v>
      </c>
      <c r="C87" s="23" t="s">
        <v>273</v>
      </c>
      <c r="D87" s="23" t="s">
        <v>261</v>
      </c>
      <c r="E87" s="23">
        <v>11</v>
      </c>
      <c r="F87" s="24">
        <v>45350</v>
      </c>
      <c r="G87" s="29">
        <v>1386000000</v>
      </c>
      <c r="H87" s="32">
        <v>935000000</v>
      </c>
    </row>
    <row r="88" spans="1:8" x14ac:dyDescent="0.25">
      <c r="A88" s="25" t="s">
        <v>260</v>
      </c>
      <c r="B88" s="23" t="s">
        <v>271</v>
      </c>
      <c r="C88" s="23" t="s">
        <v>274</v>
      </c>
      <c r="D88" s="23" t="s">
        <v>261</v>
      </c>
      <c r="E88" s="23">
        <v>11</v>
      </c>
      <c r="F88" s="24">
        <v>45322</v>
      </c>
      <c r="G88" s="29">
        <v>1485000000</v>
      </c>
      <c r="H88" s="32">
        <v>968000000</v>
      </c>
    </row>
    <row r="89" spans="1:8" x14ac:dyDescent="0.25">
      <c r="A89" s="25" t="s">
        <v>263</v>
      </c>
      <c r="B89" s="23" t="s">
        <v>257</v>
      </c>
      <c r="C89" s="23" t="s">
        <v>275</v>
      </c>
      <c r="D89" s="23" t="s">
        <v>261</v>
      </c>
      <c r="E89" s="23">
        <v>6</v>
      </c>
      <c r="F89" s="24">
        <v>45382</v>
      </c>
      <c r="G89" s="29">
        <v>750000000</v>
      </c>
      <c r="H89" s="32">
        <v>510000000</v>
      </c>
    </row>
    <row r="90" spans="1:8" x14ac:dyDescent="0.25">
      <c r="A90" s="25" t="s">
        <v>256</v>
      </c>
      <c r="B90" s="23" t="s">
        <v>257</v>
      </c>
      <c r="C90" s="23" t="s">
        <v>276</v>
      </c>
      <c r="D90" s="23" t="s">
        <v>261</v>
      </c>
      <c r="E90" s="23">
        <v>11</v>
      </c>
      <c r="F90" s="24">
        <v>45350</v>
      </c>
      <c r="G90" s="29">
        <v>1562000000</v>
      </c>
      <c r="H90" s="32">
        <v>957000000</v>
      </c>
    </row>
    <row r="91" spans="1:8" x14ac:dyDescent="0.25">
      <c r="A91" s="25" t="s">
        <v>260</v>
      </c>
      <c r="B91" s="23" t="s">
        <v>257</v>
      </c>
      <c r="C91" s="23" t="s">
        <v>277</v>
      </c>
      <c r="D91" s="23" t="s">
        <v>261</v>
      </c>
      <c r="E91" s="23">
        <v>11</v>
      </c>
      <c r="F91" s="24">
        <v>45322</v>
      </c>
      <c r="G91" s="29">
        <v>1386000000</v>
      </c>
      <c r="H91" s="32">
        <v>902000000</v>
      </c>
    </row>
    <row r="92" spans="1:8" x14ac:dyDescent="0.25">
      <c r="A92" s="25" t="s">
        <v>263</v>
      </c>
      <c r="B92" s="23" t="s">
        <v>262</v>
      </c>
      <c r="C92" s="23" t="s">
        <v>278</v>
      </c>
      <c r="D92" s="23" t="s">
        <v>261</v>
      </c>
      <c r="E92" s="23">
        <v>11</v>
      </c>
      <c r="F92" s="24">
        <v>45382</v>
      </c>
      <c r="G92" s="29">
        <v>1408000000</v>
      </c>
      <c r="H92" s="32">
        <v>957000000</v>
      </c>
    </row>
    <row r="93" spans="1:8" x14ac:dyDescent="0.25">
      <c r="A93" s="25" t="s">
        <v>264</v>
      </c>
      <c r="B93" s="23" t="s">
        <v>262</v>
      </c>
      <c r="C93" s="23" t="s">
        <v>279</v>
      </c>
      <c r="D93" s="23" t="s">
        <v>261</v>
      </c>
      <c r="E93" s="23">
        <v>11</v>
      </c>
      <c r="F93" s="24">
        <v>45350</v>
      </c>
      <c r="G93" s="29">
        <v>1441000000</v>
      </c>
      <c r="H93" s="32">
        <v>880000000</v>
      </c>
    </row>
    <row r="94" spans="1:8" x14ac:dyDescent="0.25">
      <c r="A94" s="25" t="s">
        <v>264</v>
      </c>
      <c r="B94" s="23" t="s">
        <v>280</v>
      </c>
      <c r="C94" s="23" t="s">
        <v>281</v>
      </c>
      <c r="D94" s="23" t="s">
        <v>261</v>
      </c>
      <c r="E94" s="23">
        <v>9</v>
      </c>
      <c r="F94" s="24">
        <v>45322</v>
      </c>
      <c r="G94" s="29">
        <v>1161000000</v>
      </c>
      <c r="H94" s="32">
        <v>783000000</v>
      </c>
    </row>
    <row r="95" spans="1:8" x14ac:dyDescent="0.25">
      <c r="A95" s="25" t="s">
        <v>256</v>
      </c>
      <c r="B95" s="23" t="s">
        <v>280</v>
      </c>
      <c r="C95" s="23" t="s">
        <v>282</v>
      </c>
      <c r="D95" s="23" t="s">
        <v>261</v>
      </c>
      <c r="E95" s="23">
        <v>10</v>
      </c>
      <c r="F95" s="24">
        <v>45382</v>
      </c>
      <c r="G95" s="29">
        <v>1460000000</v>
      </c>
      <c r="H95" s="32">
        <v>880000000</v>
      </c>
    </row>
    <row r="96" spans="1:8" x14ac:dyDescent="0.25">
      <c r="A96" s="25" t="s">
        <v>260</v>
      </c>
      <c r="B96" s="23" t="s">
        <v>283</v>
      </c>
      <c r="C96" s="23" t="s">
        <v>284</v>
      </c>
      <c r="D96" s="23" t="s">
        <v>261</v>
      </c>
      <c r="E96" s="23">
        <v>10</v>
      </c>
      <c r="F96" s="24">
        <v>45350</v>
      </c>
      <c r="G96" s="29">
        <v>1330000000</v>
      </c>
      <c r="H96" s="32">
        <v>810000000</v>
      </c>
    </row>
    <row r="97" spans="1:8" x14ac:dyDescent="0.25">
      <c r="A97" s="25" t="s">
        <v>263</v>
      </c>
      <c r="B97" s="23" t="s">
        <v>283</v>
      </c>
      <c r="C97" s="23" t="s">
        <v>285</v>
      </c>
      <c r="D97" s="23" t="s">
        <v>261</v>
      </c>
      <c r="E97" s="23">
        <v>9</v>
      </c>
      <c r="F97" s="24">
        <v>45322</v>
      </c>
      <c r="G97" s="29">
        <v>918000000</v>
      </c>
      <c r="H97" s="32">
        <v>783000000</v>
      </c>
    </row>
    <row r="98" spans="1:8" x14ac:dyDescent="0.25">
      <c r="A98" s="25" t="s">
        <v>256</v>
      </c>
      <c r="B98" s="23" t="s">
        <v>271</v>
      </c>
      <c r="C98" s="23" t="s">
        <v>272</v>
      </c>
      <c r="D98" s="23" t="s">
        <v>261</v>
      </c>
      <c r="E98" s="23">
        <v>5</v>
      </c>
      <c r="F98" s="24">
        <v>45382</v>
      </c>
      <c r="G98" s="29">
        <v>730000000</v>
      </c>
      <c r="H98" s="32">
        <v>435000000</v>
      </c>
    </row>
    <row r="99" spans="1:8" x14ac:dyDescent="0.25">
      <c r="A99" s="25" t="s">
        <v>260</v>
      </c>
      <c r="B99" s="23" t="s">
        <v>271</v>
      </c>
      <c r="C99" s="23" t="s">
        <v>273</v>
      </c>
      <c r="D99" s="23" t="s">
        <v>261</v>
      </c>
      <c r="E99" s="23">
        <v>11</v>
      </c>
      <c r="F99" s="24">
        <v>45350</v>
      </c>
      <c r="G99" s="29">
        <v>1606000000</v>
      </c>
      <c r="H99" s="32">
        <v>968000000</v>
      </c>
    </row>
    <row r="100" spans="1:8" x14ac:dyDescent="0.25">
      <c r="A100" s="25" t="s">
        <v>263</v>
      </c>
      <c r="B100" s="23" t="s">
        <v>271</v>
      </c>
      <c r="C100" s="23" t="s">
        <v>274</v>
      </c>
      <c r="D100" s="23" t="s">
        <v>261</v>
      </c>
      <c r="E100" s="23">
        <v>10</v>
      </c>
      <c r="F100" s="24">
        <v>45322</v>
      </c>
      <c r="G100" s="29">
        <v>1260000000</v>
      </c>
      <c r="H100" s="32">
        <v>870000000</v>
      </c>
    </row>
    <row r="101" spans="1:8" x14ac:dyDescent="0.25">
      <c r="A101" s="25" t="s">
        <v>264</v>
      </c>
      <c r="B101" s="23" t="s">
        <v>257</v>
      </c>
      <c r="C101" s="23" t="s">
        <v>275</v>
      </c>
      <c r="D101" s="23" t="s">
        <v>261</v>
      </c>
      <c r="E101" s="23">
        <v>8</v>
      </c>
      <c r="F101" s="24">
        <v>45382</v>
      </c>
      <c r="G101" s="29">
        <v>1048000000</v>
      </c>
      <c r="H101" s="32">
        <v>712000000</v>
      </c>
    </row>
    <row r="102" spans="1:8" x14ac:dyDescent="0.25">
      <c r="A102" s="25" t="s">
        <v>264</v>
      </c>
      <c r="B102" s="23" t="s">
        <v>257</v>
      </c>
      <c r="C102" s="23" t="s">
        <v>276</v>
      </c>
      <c r="D102" s="23" t="s">
        <v>261</v>
      </c>
      <c r="E102" s="23">
        <v>6</v>
      </c>
      <c r="F102" s="24">
        <v>45350</v>
      </c>
      <c r="G102" s="29">
        <v>714000000</v>
      </c>
      <c r="H102" s="32">
        <v>498000000</v>
      </c>
    </row>
    <row r="103" spans="1:8" x14ac:dyDescent="0.25">
      <c r="A103" s="25" t="s">
        <v>256</v>
      </c>
      <c r="B103" s="23" t="s">
        <v>257</v>
      </c>
      <c r="C103" s="23" t="s">
        <v>277</v>
      </c>
      <c r="D103" s="23" t="s">
        <v>261</v>
      </c>
      <c r="E103" s="23">
        <v>6</v>
      </c>
      <c r="F103" s="24">
        <v>45322</v>
      </c>
      <c r="G103" s="29">
        <v>774000000</v>
      </c>
      <c r="H103" s="32">
        <v>522000000</v>
      </c>
    </row>
    <row r="104" spans="1:8" x14ac:dyDescent="0.25">
      <c r="A104" s="25" t="s">
        <v>260</v>
      </c>
      <c r="B104" s="23" t="s">
        <v>262</v>
      </c>
      <c r="C104" s="23" t="s">
        <v>278</v>
      </c>
      <c r="D104" s="23" t="s">
        <v>261</v>
      </c>
      <c r="E104" s="23">
        <v>8</v>
      </c>
      <c r="F104" s="24">
        <v>45382</v>
      </c>
      <c r="G104" s="29">
        <v>1112000000</v>
      </c>
      <c r="H104" s="32">
        <v>712000000</v>
      </c>
    </row>
    <row r="105" spans="1:8" x14ac:dyDescent="0.25">
      <c r="A105" s="25" t="s">
        <v>263</v>
      </c>
      <c r="B105" s="23" t="s">
        <v>262</v>
      </c>
      <c r="C105" s="23" t="s">
        <v>279</v>
      </c>
      <c r="D105" s="23" t="s">
        <v>261</v>
      </c>
      <c r="E105" s="23">
        <v>12</v>
      </c>
      <c r="F105" s="24">
        <v>45350</v>
      </c>
      <c r="G105" s="29">
        <v>1644000000</v>
      </c>
      <c r="H105" s="32">
        <v>1032000000</v>
      </c>
    </row>
    <row r="106" spans="1:8" x14ac:dyDescent="0.25">
      <c r="A106" s="25" t="s">
        <v>256</v>
      </c>
      <c r="B106" s="23" t="s">
        <v>280</v>
      </c>
      <c r="C106" s="23" t="s">
        <v>281</v>
      </c>
      <c r="D106" s="23" t="s">
        <v>261</v>
      </c>
      <c r="E106" s="23">
        <v>5</v>
      </c>
      <c r="F106" s="24">
        <v>45322</v>
      </c>
      <c r="G106" s="29">
        <v>540000000</v>
      </c>
      <c r="H106" s="32">
        <v>450000000</v>
      </c>
    </row>
    <row r="107" spans="1:8" x14ac:dyDescent="0.25">
      <c r="A107" s="25" t="s">
        <v>260</v>
      </c>
      <c r="B107" s="23" t="s">
        <v>280</v>
      </c>
      <c r="C107" s="23" t="s">
        <v>282</v>
      </c>
      <c r="D107" s="23" t="s">
        <v>261</v>
      </c>
      <c r="E107" s="23">
        <v>9</v>
      </c>
      <c r="F107" s="24">
        <v>45382</v>
      </c>
      <c r="G107" s="29">
        <v>1035000000</v>
      </c>
      <c r="H107" s="32">
        <v>810000000</v>
      </c>
    </row>
    <row r="108" spans="1:8" x14ac:dyDescent="0.25">
      <c r="A108" s="25" t="s">
        <v>263</v>
      </c>
      <c r="B108" s="23" t="s">
        <v>283</v>
      </c>
      <c r="C108" s="23" t="s">
        <v>284</v>
      </c>
      <c r="D108" s="23" t="s">
        <v>261</v>
      </c>
      <c r="E108" s="23">
        <v>6</v>
      </c>
      <c r="F108" s="24">
        <v>45350</v>
      </c>
      <c r="G108" s="29">
        <v>744000000</v>
      </c>
      <c r="H108" s="32">
        <v>486000000</v>
      </c>
    </row>
    <row r="109" spans="1:8" x14ac:dyDescent="0.25">
      <c r="A109" s="26" t="s">
        <v>264</v>
      </c>
      <c r="B109" s="27" t="s">
        <v>283</v>
      </c>
      <c r="C109" s="27" t="s">
        <v>285</v>
      </c>
      <c r="D109" s="27" t="s">
        <v>261</v>
      </c>
      <c r="E109" s="27">
        <v>12</v>
      </c>
      <c r="F109" s="28">
        <v>45322</v>
      </c>
      <c r="G109" s="30">
        <v>1320000000</v>
      </c>
      <c r="H109" s="33">
        <v>1032000000</v>
      </c>
    </row>
    <row r="110" spans="1:8" x14ac:dyDescent="0.25">
      <c r="A110" s="25" t="s">
        <v>314</v>
      </c>
      <c r="B110" s="23" t="s">
        <v>316</v>
      </c>
      <c r="C110" s="23" t="s">
        <v>317</v>
      </c>
      <c r="D110" s="23" t="s">
        <v>319</v>
      </c>
      <c r="E110" s="23">
        <v>12</v>
      </c>
      <c r="F110" s="24">
        <v>45382</v>
      </c>
      <c r="G110" s="29">
        <v>838176860</v>
      </c>
      <c r="H110" s="32">
        <v>670541488</v>
      </c>
    </row>
    <row r="111" spans="1:8" x14ac:dyDescent="0.25">
      <c r="A111" s="25" t="s">
        <v>314</v>
      </c>
      <c r="B111" s="23" t="s">
        <v>316</v>
      </c>
      <c r="C111" s="23" t="s">
        <v>317</v>
      </c>
      <c r="D111" s="23" t="s">
        <v>320</v>
      </c>
      <c r="E111" s="23">
        <v>12</v>
      </c>
      <c r="F111" s="24">
        <v>45350</v>
      </c>
      <c r="G111" s="29">
        <v>567038560</v>
      </c>
      <c r="H111" s="32">
        <v>453630848</v>
      </c>
    </row>
    <row r="112" spans="1:8" x14ac:dyDescent="0.25">
      <c r="A112" s="25" t="s">
        <v>314</v>
      </c>
      <c r="B112" s="23" t="s">
        <v>316</v>
      </c>
      <c r="C112" s="23" t="s">
        <v>318</v>
      </c>
      <c r="D112" s="23" t="s">
        <v>319</v>
      </c>
      <c r="E112" s="23">
        <v>3</v>
      </c>
      <c r="F112" s="24">
        <v>45322</v>
      </c>
      <c r="G112" s="29">
        <v>810098132</v>
      </c>
      <c r="H112" s="32">
        <v>648078505.60000002</v>
      </c>
    </row>
    <row r="113" spans="1:8" x14ac:dyDescent="0.25">
      <c r="A113" s="25" t="s">
        <v>314</v>
      </c>
      <c r="B113" s="23" t="s">
        <v>316</v>
      </c>
      <c r="C113" s="23" t="s">
        <v>317</v>
      </c>
      <c r="D113" s="23" t="s">
        <v>320</v>
      </c>
      <c r="E113" s="23">
        <v>6</v>
      </c>
      <c r="F113" s="24">
        <v>45382</v>
      </c>
      <c r="G113" s="29">
        <v>574603444</v>
      </c>
      <c r="H113" s="32">
        <v>459682755.20000005</v>
      </c>
    </row>
    <row r="114" spans="1:8" x14ac:dyDescent="0.25">
      <c r="A114" s="25" t="s">
        <v>315</v>
      </c>
      <c r="B114" s="23" t="s">
        <v>316</v>
      </c>
      <c r="C114" s="23" t="s">
        <v>318</v>
      </c>
      <c r="D114" s="23" t="s">
        <v>319</v>
      </c>
      <c r="E114" s="23">
        <v>7</v>
      </c>
      <c r="F114" s="24">
        <v>45350</v>
      </c>
      <c r="G114" s="29">
        <v>830590049</v>
      </c>
      <c r="H114" s="32">
        <v>664472039.20000005</v>
      </c>
    </row>
    <row r="115" spans="1:8" x14ac:dyDescent="0.25">
      <c r="A115" s="25" t="s">
        <v>315</v>
      </c>
      <c r="B115" s="23" t="s">
        <v>316</v>
      </c>
      <c r="C115" s="23" t="s">
        <v>317</v>
      </c>
      <c r="D115" s="23" t="s">
        <v>320</v>
      </c>
      <c r="E115" s="23">
        <v>10</v>
      </c>
      <c r="F115" s="24">
        <v>45322</v>
      </c>
      <c r="G115" s="29">
        <v>899244384</v>
      </c>
      <c r="H115" s="32">
        <v>719395507.20000005</v>
      </c>
    </row>
    <row r="116" spans="1:8" x14ac:dyDescent="0.25">
      <c r="A116" s="25" t="s">
        <v>314</v>
      </c>
      <c r="B116" s="23" t="s">
        <v>316</v>
      </c>
      <c r="C116" s="23" t="s">
        <v>317</v>
      </c>
      <c r="D116" s="23" t="s">
        <v>319</v>
      </c>
      <c r="E116" s="23">
        <v>10</v>
      </c>
      <c r="F116" s="24">
        <v>45382</v>
      </c>
      <c r="G116" s="29">
        <v>638936380</v>
      </c>
      <c r="H116" s="32">
        <v>511149104</v>
      </c>
    </row>
    <row r="117" spans="1:8" x14ac:dyDescent="0.25">
      <c r="A117" s="26" t="s">
        <v>314</v>
      </c>
      <c r="B117" s="27" t="s">
        <v>316</v>
      </c>
      <c r="C117" s="27" t="s">
        <v>317</v>
      </c>
      <c r="D117" s="27" t="s">
        <v>320</v>
      </c>
      <c r="E117" s="27">
        <v>5</v>
      </c>
      <c r="F117" s="28">
        <v>45350</v>
      </c>
      <c r="G117" s="30">
        <v>473083849</v>
      </c>
      <c r="H117" s="33">
        <v>378467079.20000005</v>
      </c>
    </row>
  </sheetData>
  <conditionalFormatting sqref="G2:G117">
    <cfRule type="cellIs" dxfId="48" priority="4" operator="lessThan">
      <formula>100000</formula>
    </cfRule>
  </conditionalFormatting>
  <conditionalFormatting sqref="H2:H117">
    <cfRule type="cellIs" dxfId="47" priority="3" operator="lessThan">
      <formula>100000</formula>
    </cfRule>
  </conditionalFormatting>
  <conditionalFormatting sqref="G110:G117">
    <cfRule type="cellIs" dxfId="46" priority="2" operator="lessThan">
      <formula>100000</formula>
    </cfRule>
  </conditionalFormatting>
  <conditionalFormatting sqref="H110:H117">
    <cfRule type="cellIs" dxfId="45" priority="1" operator="lessThan">
      <formula>100000</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962EB-302D-4A4A-98C5-C17F3A81825F}">
  <sheetPr codeName="Sheet3"/>
  <dimension ref="A1:H8"/>
  <sheetViews>
    <sheetView workbookViewId="0">
      <selection activeCell="F10" sqref="F10"/>
    </sheetView>
  </sheetViews>
  <sheetFormatPr defaultRowHeight="15" x14ac:dyDescent="0.25"/>
  <cols>
    <col min="6" max="6" width="10.7109375" bestFit="1" customWidth="1"/>
    <col min="7" max="8" width="12.5703125" bestFit="1" customWidth="1"/>
  </cols>
  <sheetData>
    <row r="1" spans="1:8" x14ac:dyDescent="0.25">
      <c r="A1" s="23" t="s">
        <v>314</v>
      </c>
      <c r="B1" s="23" t="s">
        <v>316</v>
      </c>
      <c r="C1" s="23" t="s">
        <v>317</v>
      </c>
      <c r="D1" s="23" t="s">
        <v>319</v>
      </c>
      <c r="E1" s="23">
        <v>12</v>
      </c>
      <c r="F1" s="24">
        <v>45382</v>
      </c>
      <c r="G1" s="23">
        <v>838176860</v>
      </c>
      <c r="H1" s="23">
        <v>670541488</v>
      </c>
    </row>
    <row r="2" spans="1:8" x14ac:dyDescent="0.25">
      <c r="A2" s="23" t="s">
        <v>314</v>
      </c>
      <c r="B2" s="23" t="s">
        <v>316</v>
      </c>
      <c r="C2" s="23" t="s">
        <v>317</v>
      </c>
      <c r="D2" s="23" t="s">
        <v>320</v>
      </c>
      <c r="E2" s="23">
        <v>12</v>
      </c>
      <c r="F2" s="24">
        <v>45350</v>
      </c>
      <c r="G2" s="23">
        <v>567038560</v>
      </c>
      <c r="H2" s="23">
        <v>453630848</v>
      </c>
    </row>
    <row r="3" spans="1:8" x14ac:dyDescent="0.25">
      <c r="A3" s="23" t="s">
        <v>314</v>
      </c>
      <c r="B3" s="23" t="s">
        <v>316</v>
      </c>
      <c r="C3" s="23" t="s">
        <v>318</v>
      </c>
      <c r="D3" s="23" t="s">
        <v>319</v>
      </c>
      <c r="E3" s="23">
        <v>3</v>
      </c>
      <c r="F3" s="24">
        <v>45322</v>
      </c>
      <c r="G3" s="23">
        <v>810098132</v>
      </c>
      <c r="H3" s="23">
        <v>648078505.60000002</v>
      </c>
    </row>
    <row r="4" spans="1:8" x14ac:dyDescent="0.25">
      <c r="A4" s="23" t="s">
        <v>314</v>
      </c>
      <c r="B4" s="23" t="s">
        <v>316</v>
      </c>
      <c r="C4" s="23" t="s">
        <v>317</v>
      </c>
      <c r="D4" s="23" t="s">
        <v>320</v>
      </c>
      <c r="E4" s="23">
        <v>6</v>
      </c>
      <c r="F4" s="24">
        <v>45382</v>
      </c>
      <c r="G4" s="23">
        <v>574603444</v>
      </c>
      <c r="H4" s="23">
        <v>459682755.20000005</v>
      </c>
    </row>
    <row r="5" spans="1:8" x14ac:dyDescent="0.25">
      <c r="A5" s="23" t="s">
        <v>315</v>
      </c>
      <c r="B5" s="23" t="s">
        <v>316</v>
      </c>
      <c r="C5" s="23" t="s">
        <v>318</v>
      </c>
      <c r="D5" s="23" t="s">
        <v>319</v>
      </c>
      <c r="E5" s="23">
        <v>7</v>
      </c>
      <c r="F5" s="24">
        <v>45350</v>
      </c>
      <c r="G5" s="23">
        <v>830590049</v>
      </c>
      <c r="H5" s="23">
        <v>664472039.20000005</v>
      </c>
    </row>
    <row r="6" spans="1:8" x14ac:dyDescent="0.25">
      <c r="A6" s="23" t="s">
        <v>315</v>
      </c>
      <c r="B6" s="23" t="s">
        <v>316</v>
      </c>
      <c r="C6" s="23" t="s">
        <v>317</v>
      </c>
      <c r="D6" s="23" t="s">
        <v>320</v>
      </c>
      <c r="E6" s="23">
        <v>10</v>
      </c>
      <c r="F6" s="24">
        <v>45322</v>
      </c>
      <c r="G6" s="23">
        <v>899244384</v>
      </c>
      <c r="H6" s="23">
        <v>719395507.20000005</v>
      </c>
    </row>
    <row r="7" spans="1:8" x14ac:dyDescent="0.25">
      <c r="A7" s="23" t="s">
        <v>314</v>
      </c>
      <c r="B7" s="23" t="s">
        <v>316</v>
      </c>
      <c r="C7" s="23" t="s">
        <v>317</v>
      </c>
      <c r="D7" s="23" t="s">
        <v>319</v>
      </c>
      <c r="E7" s="23">
        <v>10</v>
      </c>
      <c r="F7" s="24">
        <v>45382</v>
      </c>
      <c r="G7" s="23">
        <v>638936380</v>
      </c>
      <c r="H7" s="23">
        <v>511149104</v>
      </c>
    </row>
    <row r="8" spans="1:8" x14ac:dyDescent="0.25">
      <c r="A8" s="23" t="s">
        <v>314</v>
      </c>
      <c r="B8" s="23" t="s">
        <v>316</v>
      </c>
      <c r="C8" s="23" t="s">
        <v>317</v>
      </c>
      <c r="D8" s="23" t="s">
        <v>320</v>
      </c>
      <c r="E8" s="23">
        <v>5</v>
      </c>
      <c r="F8" s="24">
        <v>45350</v>
      </c>
      <c r="G8" s="23">
        <v>473083849</v>
      </c>
      <c r="H8" s="23">
        <v>378467079.20000005</v>
      </c>
    </row>
  </sheetData>
  <conditionalFormatting sqref="G1:G8">
    <cfRule type="cellIs" dxfId="31" priority="2" operator="lessThan">
      <formula>100000</formula>
    </cfRule>
  </conditionalFormatting>
  <conditionalFormatting sqref="H1:H8">
    <cfRule type="cellIs" dxfId="30" priority="1" operator="lessThan">
      <formula>100000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F5D68-0641-4A9B-B621-1B335177121E}">
  <sheetPr codeName="Sheet5"/>
  <dimension ref="A1:L100"/>
  <sheetViews>
    <sheetView topLeftCell="D3" zoomScale="63" zoomScaleNormal="83" workbookViewId="0">
      <selection activeCell="J25" sqref="J25"/>
    </sheetView>
  </sheetViews>
  <sheetFormatPr defaultRowHeight="15" x14ac:dyDescent="0.25"/>
  <cols>
    <col min="1" max="1" width="37.5703125" bestFit="1" customWidth="1"/>
    <col min="2" max="2" width="17.42578125" style="2" bestFit="1" customWidth="1"/>
    <col min="3" max="3" width="51.140625" style="2" bestFit="1" customWidth="1"/>
    <col min="4" max="4" width="26" style="2" bestFit="1" customWidth="1"/>
    <col min="5" max="5" width="24.42578125" style="36" bestFit="1" customWidth="1"/>
    <col min="6" max="6" width="28" style="36" bestFit="1" customWidth="1"/>
    <col min="7" max="7" width="33" style="2" bestFit="1" customWidth="1"/>
    <col min="8" max="8" width="20.7109375" style="2" bestFit="1" customWidth="1"/>
    <col min="9" max="9" width="26.85546875" style="2" bestFit="1" customWidth="1"/>
    <col min="10" max="10" width="15.5703125" bestFit="1" customWidth="1"/>
    <col min="11" max="11" width="16.85546875" bestFit="1" customWidth="1"/>
    <col min="12" max="12" width="255.7109375" customWidth="1"/>
    <col min="13" max="13" width="19.140625" bestFit="1" customWidth="1"/>
    <col min="14" max="14" width="21.7109375" bestFit="1" customWidth="1"/>
    <col min="15" max="15" width="24" bestFit="1" customWidth="1"/>
    <col min="16" max="16" width="12.7109375" bestFit="1" customWidth="1"/>
    <col min="17" max="47" width="12.5703125" bestFit="1" customWidth="1"/>
    <col min="48" max="94" width="14.28515625" bestFit="1" customWidth="1"/>
    <col min="95" max="95" width="12.7109375" bestFit="1" customWidth="1"/>
  </cols>
  <sheetData>
    <row r="1" spans="1:12" ht="26.25" x14ac:dyDescent="0.4">
      <c r="A1" s="35" t="s">
        <v>0</v>
      </c>
      <c r="L1" s="1" t="s">
        <v>287</v>
      </c>
    </row>
    <row r="2" spans="1:12" x14ac:dyDescent="0.25">
      <c r="A2" s="21"/>
      <c r="L2" s="21"/>
    </row>
    <row r="3" spans="1:12" ht="19.5" x14ac:dyDescent="0.3">
      <c r="B3" s="4" t="s">
        <v>249</v>
      </c>
    </row>
    <row r="4" spans="1:12" ht="15.75" x14ac:dyDescent="0.25">
      <c r="C4" s="41" t="s">
        <v>307</v>
      </c>
      <c r="D4" s="37" t="s">
        <v>250</v>
      </c>
      <c r="E4" s="38" t="s">
        <v>265</v>
      </c>
      <c r="F4" s="38" t="s">
        <v>286</v>
      </c>
      <c r="G4" s="38" t="s">
        <v>288</v>
      </c>
      <c r="H4" s="38" t="s">
        <v>289</v>
      </c>
      <c r="I4" s="38" t="s">
        <v>293</v>
      </c>
      <c r="L4" s="43" t="s">
        <v>294</v>
      </c>
    </row>
    <row r="5" spans="1:12" ht="15.75" x14ac:dyDescent="0.25">
      <c r="C5" s="41" t="s">
        <v>308</v>
      </c>
      <c r="D5" s="38" t="s">
        <v>284</v>
      </c>
      <c r="E5" s="38">
        <v>8987000000</v>
      </c>
      <c r="F5" s="38">
        <v>5884000000</v>
      </c>
      <c r="G5" s="38">
        <v>3103000000</v>
      </c>
      <c r="H5" s="38">
        <v>988570000</v>
      </c>
      <c r="I5" s="38">
        <v>620600000</v>
      </c>
      <c r="L5" s="44" t="s">
        <v>295</v>
      </c>
    </row>
    <row r="6" spans="1:12" ht="15.75" x14ac:dyDescent="0.25">
      <c r="D6" s="38" t="s">
        <v>272</v>
      </c>
      <c r="E6" s="38">
        <v>9061000000</v>
      </c>
      <c r="F6" s="38">
        <v>6123000000</v>
      </c>
      <c r="G6" s="38">
        <v>2938000000</v>
      </c>
      <c r="H6" s="38">
        <v>996710000</v>
      </c>
      <c r="I6" s="38">
        <v>587600000</v>
      </c>
      <c r="L6" s="22" t="s">
        <v>296</v>
      </c>
    </row>
    <row r="7" spans="1:12" ht="15.75" x14ac:dyDescent="0.25">
      <c r="D7" s="38" t="s">
        <v>277</v>
      </c>
      <c r="E7" s="38">
        <v>9528000000</v>
      </c>
      <c r="F7" s="38">
        <v>6066000000</v>
      </c>
      <c r="G7" s="38">
        <v>3462000000</v>
      </c>
      <c r="H7" s="38">
        <v>1048080000</v>
      </c>
      <c r="I7" s="38">
        <v>692400000</v>
      </c>
      <c r="L7" s="45" t="s">
        <v>297</v>
      </c>
    </row>
    <row r="8" spans="1:12" ht="15.75" x14ac:dyDescent="0.25">
      <c r="D8" s="38" t="s">
        <v>276</v>
      </c>
      <c r="E8" s="38">
        <v>9606000000</v>
      </c>
      <c r="F8" s="38">
        <v>6183000000</v>
      </c>
      <c r="G8" s="38">
        <v>3423000000</v>
      </c>
      <c r="H8" s="38">
        <v>1056660000</v>
      </c>
      <c r="I8" s="38">
        <v>684600000</v>
      </c>
      <c r="L8" s="22" t="s">
        <v>298</v>
      </c>
    </row>
    <row r="9" spans="1:12" ht="15.75" x14ac:dyDescent="0.25">
      <c r="D9" s="38" t="s">
        <v>278</v>
      </c>
      <c r="E9" s="38">
        <v>10059000000</v>
      </c>
      <c r="F9" s="38">
        <v>6574000000</v>
      </c>
      <c r="G9" s="38">
        <v>3485000000</v>
      </c>
      <c r="H9" s="38">
        <v>1106490000</v>
      </c>
      <c r="I9" s="38">
        <v>697000000</v>
      </c>
      <c r="L9" s="22" t="s">
        <v>299</v>
      </c>
    </row>
    <row r="10" spans="1:12" ht="15.75" x14ac:dyDescent="0.25">
      <c r="D10" s="38" t="s">
        <v>273</v>
      </c>
      <c r="E10" s="38">
        <v>10998000000</v>
      </c>
      <c r="F10" s="38">
        <v>7681000000</v>
      </c>
      <c r="G10" s="38">
        <v>3317000000</v>
      </c>
      <c r="H10" s="38">
        <v>1209780000</v>
      </c>
      <c r="I10" s="38">
        <v>663400000</v>
      </c>
      <c r="L10" s="22" t="s">
        <v>300</v>
      </c>
    </row>
    <row r="11" spans="1:12" ht="15.75" x14ac:dyDescent="0.25">
      <c r="D11" s="38" t="s">
        <v>275</v>
      </c>
      <c r="E11" s="38">
        <v>8915000000</v>
      </c>
      <c r="F11" s="38">
        <v>5652000000</v>
      </c>
      <c r="G11" s="38">
        <v>3263000000</v>
      </c>
      <c r="H11" s="38">
        <v>980650000</v>
      </c>
      <c r="I11" s="38">
        <v>652600000</v>
      </c>
      <c r="L11" s="22" t="s">
        <v>301</v>
      </c>
    </row>
    <row r="12" spans="1:12" ht="15.75" x14ac:dyDescent="0.25">
      <c r="D12" s="38" t="s">
        <v>285</v>
      </c>
      <c r="E12" s="38">
        <v>10099000000</v>
      </c>
      <c r="F12" s="38">
        <v>6885000000</v>
      </c>
      <c r="G12" s="38">
        <v>3214000000</v>
      </c>
      <c r="H12" s="38">
        <v>1110890000</v>
      </c>
      <c r="I12" s="38">
        <v>642800000</v>
      </c>
      <c r="L12" s="22" t="s">
        <v>302</v>
      </c>
    </row>
    <row r="13" spans="1:12" ht="15.75" x14ac:dyDescent="0.25">
      <c r="D13" s="38" t="s">
        <v>274</v>
      </c>
      <c r="E13" s="38">
        <v>10711000000</v>
      </c>
      <c r="F13" s="38">
        <v>7109000000</v>
      </c>
      <c r="G13" s="38">
        <v>3602000000</v>
      </c>
      <c r="H13" s="38">
        <v>1178210000</v>
      </c>
      <c r="I13" s="38">
        <v>720400000</v>
      </c>
      <c r="L13" s="22" t="s">
        <v>303</v>
      </c>
    </row>
    <row r="14" spans="1:12" ht="15.75" x14ac:dyDescent="0.25">
      <c r="D14" s="38" t="s">
        <v>282</v>
      </c>
      <c r="E14" s="38">
        <v>10495000000</v>
      </c>
      <c r="F14" s="38">
        <v>6723000000</v>
      </c>
      <c r="G14" s="38">
        <v>3772000000</v>
      </c>
      <c r="H14" s="38">
        <v>1154450000</v>
      </c>
      <c r="I14" s="38">
        <v>754400000</v>
      </c>
      <c r="L14" s="22" t="s">
        <v>304</v>
      </c>
    </row>
    <row r="15" spans="1:12" ht="15.75" x14ac:dyDescent="0.25">
      <c r="D15" s="38" t="s">
        <v>279</v>
      </c>
      <c r="E15" s="38">
        <v>9844000000</v>
      </c>
      <c r="F15" s="38">
        <v>6483000000</v>
      </c>
      <c r="G15" s="38">
        <v>3361000000</v>
      </c>
      <c r="H15" s="38">
        <v>1082840000</v>
      </c>
      <c r="I15" s="38">
        <v>672200000</v>
      </c>
      <c r="L15" s="22" t="s">
        <v>305</v>
      </c>
    </row>
    <row r="16" spans="1:12" ht="15.75" x14ac:dyDescent="0.25">
      <c r="D16" s="38" t="s">
        <v>281</v>
      </c>
      <c r="E16" s="38">
        <v>8824000000</v>
      </c>
      <c r="F16" s="38">
        <v>6138000000</v>
      </c>
      <c r="G16" s="38">
        <v>2686000000</v>
      </c>
      <c r="H16" s="38">
        <v>970640000</v>
      </c>
      <c r="I16" s="38">
        <v>537200000</v>
      </c>
      <c r="L16" s="34"/>
    </row>
    <row r="17" spans="3:12" ht="15.75" x14ac:dyDescent="0.25">
      <c r="D17" s="38" t="s">
        <v>317</v>
      </c>
      <c r="E17" s="38">
        <v>3991083477</v>
      </c>
      <c r="F17" s="38">
        <v>3192866781.6000004</v>
      </c>
      <c r="G17" s="38">
        <v>798216695.39999962</v>
      </c>
      <c r="H17" s="38">
        <v>439019182.47000003</v>
      </c>
      <c r="I17" s="38">
        <v>159643339.07999992</v>
      </c>
      <c r="L17" s="46" t="s">
        <v>135</v>
      </c>
    </row>
    <row r="18" spans="3:12" ht="15.75" x14ac:dyDescent="0.25">
      <c r="D18" s="38" t="s">
        <v>318</v>
      </c>
      <c r="E18" s="38">
        <v>1640688181</v>
      </c>
      <c r="F18" s="38">
        <v>1312550544.8000002</v>
      </c>
      <c r="G18" s="38">
        <v>328137636.19999981</v>
      </c>
      <c r="H18" s="38">
        <v>180475699.91</v>
      </c>
      <c r="I18" s="38">
        <v>65627527.239999965</v>
      </c>
      <c r="L18" s="46" t="s">
        <v>291</v>
      </c>
    </row>
    <row r="19" spans="3:12" ht="15.75" x14ac:dyDescent="0.25">
      <c r="D19" s="38" t="s">
        <v>251</v>
      </c>
      <c r="E19" s="38">
        <v>122758771658</v>
      </c>
      <c r="F19" s="38">
        <v>82006417326.400009</v>
      </c>
      <c r="G19" s="38">
        <v>40752354331.600006</v>
      </c>
      <c r="H19" s="38">
        <v>13503464882.379999</v>
      </c>
      <c r="I19" s="38">
        <v>8150470866.3200016</v>
      </c>
      <c r="L19" s="46" t="s">
        <v>290</v>
      </c>
    </row>
    <row r="20" spans="3:12" ht="15.75" x14ac:dyDescent="0.25">
      <c r="L20" s="46" t="s">
        <v>292</v>
      </c>
    </row>
    <row r="29" spans="3:12" ht="15.75" x14ac:dyDescent="0.25">
      <c r="C29" s="41" t="s">
        <v>306</v>
      </c>
    </row>
    <row r="30" spans="3:12" x14ac:dyDescent="0.25">
      <c r="D30" s="39" t="s">
        <v>266</v>
      </c>
      <c r="E30" s="2" t="s">
        <v>321</v>
      </c>
    </row>
    <row r="31" spans="3:12" x14ac:dyDescent="0.25">
      <c r="D31" s="39" t="s">
        <v>253</v>
      </c>
      <c r="E31" s="2" t="s">
        <v>321</v>
      </c>
    </row>
    <row r="33" spans="4:12" ht="15.75" x14ac:dyDescent="0.25">
      <c r="D33" s="39" t="s">
        <v>309</v>
      </c>
      <c r="E33" s="39" t="s">
        <v>252</v>
      </c>
      <c r="F33" s="2"/>
      <c r="L33" s="44" t="s">
        <v>328</v>
      </c>
    </row>
    <row r="34" spans="4:12" ht="15.75" x14ac:dyDescent="0.25">
      <c r="D34" s="39" t="s">
        <v>250</v>
      </c>
      <c r="E34" s="2" t="s">
        <v>259</v>
      </c>
      <c r="F34" s="2" t="s">
        <v>258</v>
      </c>
      <c r="G34" s="2" t="s">
        <v>261</v>
      </c>
      <c r="H34" s="2" t="s">
        <v>251</v>
      </c>
      <c r="L34" s="22" t="s">
        <v>310</v>
      </c>
    </row>
    <row r="35" spans="4:12" ht="15.75" x14ac:dyDescent="0.25">
      <c r="D35" s="2" t="s">
        <v>272</v>
      </c>
      <c r="E35" s="2">
        <v>19</v>
      </c>
      <c r="F35" s="2">
        <v>29</v>
      </c>
      <c r="G35" s="2">
        <v>24</v>
      </c>
      <c r="H35" s="2">
        <v>72</v>
      </c>
      <c r="L35" s="22" t="s">
        <v>311</v>
      </c>
    </row>
    <row r="36" spans="4:12" ht="15.75" x14ac:dyDescent="0.25">
      <c r="D36" s="2" t="s">
        <v>273</v>
      </c>
      <c r="E36" s="2">
        <v>18</v>
      </c>
      <c r="F36" s="2">
        <v>12</v>
      </c>
      <c r="G36" s="2">
        <v>11</v>
      </c>
      <c r="H36" s="2">
        <v>41</v>
      </c>
      <c r="L36" s="22" t="s">
        <v>312</v>
      </c>
    </row>
    <row r="37" spans="4:12" x14ac:dyDescent="0.25">
      <c r="D37" s="2" t="s">
        <v>285</v>
      </c>
      <c r="E37" s="2">
        <v>7</v>
      </c>
      <c r="F37" s="2">
        <v>12</v>
      </c>
      <c r="G37" s="2">
        <v>18</v>
      </c>
      <c r="H37" s="2">
        <v>37</v>
      </c>
    </row>
    <row r="38" spans="4:12" x14ac:dyDescent="0.25">
      <c r="D38" s="2" t="s">
        <v>282</v>
      </c>
      <c r="E38" s="2">
        <v>21</v>
      </c>
      <c r="F38" s="2">
        <v>10</v>
      </c>
      <c r="G38" s="2">
        <v>10</v>
      </c>
      <c r="H38" s="2">
        <v>41</v>
      </c>
    </row>
    <row r="39" spans="4:12" x14ac:dyDescent="0.25">
      <c r="D39" s="2" t="s">
        <v>281</v>
      </c>
      <c r="E39" s="2">
        <v>19</v>
      </c>
      <c r="F39" s="2">
        <v>29</v>
      </c>
      <c r="G39" s="2">
        <v>24</v>
      </c>
      <c r="H39" s="2">
        <v>72</v>
      </c>
    </row>
    <row r="40" spans="4:12" x14ac:dyDescent="0.25">
      <c r="D40" s="2" t="s">
        <v>251</v>
      </c>
      <c r="E40" s="2">
        <v>84</v>
      </c>
      <c r="F40" s="2">
        <v>92</v>
      </c>
      <c r="G40" s="2">
        <v>87</v>
      </c>
      <c r="H40" s="2">
        <v>263</v>
      </c>
    </row>
    <row r="41" spans="4:12" x14ac:dyDescent="0.25">
      <c r="E41" s="2"/>
      <c r="F41" s="2"/>
    </row>
    <row r="42" spans="4:12" x14ac:dyDescent="0.25">
      <c r="E42" s="2"/>
      <c r="F42" s="2"/>
    </row>
    <row r="43" spans="4:12" x14ac:dyDescent="0.25">
      <c r="E43" s="2"/>
      <c r="F43" s="2"/>
    </row>
    <row r="44" spans="4:12" x14ac:dyDescent="0.25">
      <c r="E44" s="2"/>
      <c r="F44" s="2"/>
    </row>
    <row r="45" spans="4:12" x14ac:dyDescent="0.25">
      <c r="E45" s="2"/>
      <c r="F45" s="2"/>
    </row>
    <row r="46" spans="4:12" x14ac:dyDescent="0.25">
      <c r="E46" s="2"/>
      <c r="F46" s="2"/>
    </row>
    <row r="47" spans="4:12" x14ac:dyDescent="0.25">
      <c r="E47" s="2"/>
      <c r="F47" s="2"/>
    </row>
    <row r="51" spans="3:12" ht="15.75" x14ac:dyDescent="0.25">
      <c r="C51" s="42" t="s">
        <v>313</v>
      </c>
    </row>
    <row r="52" spans="3:12" x14ac:dyDescent="0.25">
      <c r="E52" s="2"/>
      <c r="F52" s="2"/>
    </row>
    <row r="53" spans="3:12" ht="15.75" x14ac:dyDescent="0.25">
      <c r="D53" s="39" t="s">
        <v>266</v>
      </c>
      <c r="E53" s="2" t="s">
        <v>336</v>
      </c>
      <c r="F53" s="2"/>
      <c r="L53" s="44" t="s">
        <v>322</v>
      </c>
    </row>
    <row r="54" spans="3:12" ht="15.75" x14ac:dyDescent="0.25">
      <c r="E54" s="2"/>
      <c r="F54" s="2"/>
      <c r="L54" s="22" t="s">
        <v>323</v>
      </c>
    </row>
    <row r="55" spans="3:12" ht="15.75" x14ac:dyDescent="0.25">
      <c r="D55" s="39" t="s">
        <v>250</v>
      </c>
      <c r="E55" s="2" t="s">
        <v>265</v>
      </c>
      <c r="F55" s="2"/>
      <c r="L55" s="22" t="s">
        <v>324</v>
      </c>
    </row>
    <row r="56" spans="3:12" ht="15.75" x14ac:dyDescent="0.25">
      <c r="D56" s="2" t="s">
        <v>284</v>
      </c>
      <c r="E56" s="40">
        <v>7.3208617833333711E-2</v>
      </c>
      <c r="F56" s="2"/>
      <c r="L56" s="22" t="s">
        <v>325</v>
      </c>
    </row>
    <row r="57" spans="3:12" ht="15.75" x14ac:dyDescent="0.25">
      <c r="D57" s="2" t="s">
        <v>272</v>
      </c>
      <c r="E57" s="40">
        <v>7.3811426080765186E-2</v>
      </c>
      <c r="F57" s="2"/>
      <c r="L57" s="22" t="s">
        <v>326</v>
      </c>
    </row>
    <row r="58" spans="3:12" ht="15.75" x14ac:dyDescent="0.25">
      <c r="D58" s="2" t="s">
        <v>277</v>
      </c>
      <c r="E58" s="40">
        <v>7.7615634885501689E-2</v>
      </c>
      <c r="F58" s="2"/>
      <c r="L58" s="22" t="s">
        <v>327</v>
      </c>
    </row>
    <row r="59" spans="3:12" ht="15.75" x14ac:dyDescent="0.25">
      <c r="D59" s="2" t="s">
        <v>317</v>
      </c>
      <c r="E59" s="40">
        <v>3.25115950827446E-2</v>
      </c>
      <c r="F59" s="2"/>
      <c r="L59" s="22" t="s">
        <v>330</v>
      </c>
    </row>
    <row r="60" spans="3:12" x14ac:dyDescent="0.25">
      <c r="D60" s="2" t="s">
        <v>276</v>
      </c>
      <c r="E60" s="40">
        <v>7.8251027362524053E-2</v>
      </c>
      <c r="F60" s="2"/>
    </row>
    <row r="61" spans="3:12" x14ac:dyDescent="0.25">
      <c r="D61" s="2" t="s">
        <v>278</v>
      </c>
      <c r="E61" s="40">
        <v>8.194119136369242E-2</v>
      </c>
      <c r="F61" s="2"/>
    </row>
    <row r="62" spans="3:12" x14ac:dyDescent="0.25">
      <c r="D62" s="2" t="s">
        <v>273</v>
      </c>
      <c r="E62" s="40">
        <v>8.9590339260154014E-2</v>
      </c>
      <c r="F62" s="2"/>
    </row>
    <row r="63" spans="3:12" x14ac:dyDescent="0.25">
      <c r="D63" s="2" t="s">
        <v>275</v>
      </c>
      <c r="E63" s="40">
        <v>7.2622101700697675E-2</v>
      </c>
      <c r="F63" s="2"/>
    </row>
    <row r="64" spans="3:12" x14ac:dyDescent="0.25">
      <c r="D64" s="2" t="s">
        <v>285</v>
      </c>
      <c r="E64" s="40">
        <v>8.2267033659601335E-2</v>
      </c>
      <c r="F64" s="2"/>
    </row>
    <row r="65" spans="3:12" x14ac:dyDescent="0.25">
      <c r="D65" s="2" t="s">
        <v>274</v>
      </c>
      <c r="E65" s="40">
        <v>8.7252420787007609E-2</v>
      </c>
      <c r="F65" s="2"/>
    </row>
    <row r="66" spans="3:12" x14ac:dyDescent="0.25">
      <c r="D66" s="2" t="s">
        <v>282</v>
      </c>
      <c r="E66" s="40">
        <v>8.5492872389099514E-2</v>
      </c>
      <c r="F66" s="2"/>
    </row>
    <row r="67" spans="3:12" x14ac:dyDescent="0.25">
      <c r="D67" s="2" t="s">
        <v>318</v>
      </c>
      <c r="E67" s="40">
        <v>1.3365140094191215E-2</v>
      </c>
      <c r="F67" s="2"/>
    </row>
    <row r="68" spans="3:12" x14ac:dyDescent="0.25">
      <c r="D68" s="2" t="s">
        <v>279</v>
      </c>
      <c r="E68" s="40">
        <v>8.0189789023182051E-2</v>
      </c>
      <c r="F68" s="2"/>
    </row>
    <row r="69" spans="3:12" x14ac:dyDescent="0.25">
      <c r="D69" s="2" t="s">
        <v>281</v>
      </c>
      <c r="E69" s="40">
        <v>7.1880810477504914E-2</v>
      </c>
      <c r="F69" s="2"/>
    </row>
    <row r="70" spans="3:12" x14ac:dyDescent="0.25">
      <c r="D70" s="2" t="s">
        <v>251</v>
      </c>
      <c r="E70" s="40">
        <v>1</v>
      </c>
      <c r="F70" s="2"/>
    </row>
    <row r="71" spans="3:12" x14ac:dyDescent="0.25">
      <c r="E71" s="2"/>
      <c r="F71" s="2"/>
    </row>
    <row r="72" spans="3:12" x14ac:dyDescent="0.25">
      <c r="E72" s="2"/>
      <c r="F72" s="2"/>
    </row>
    <row r="76" spans="3:12" ht="15.75" x14ac:dyDescent="0.25">
      <c r="C76" s="41" t="s">
        <v>329</v>
      </c>
      <c r="L76" s="44" t="s">
        <v>349</v>
      </c>
    </row>
    <row r="77" spans="3:12" ht="15.75" x14ac:dyDescent="0.25">
      <c r="D77" s="6" t="s">
        <v>580</v>
      </c>
      <c r="L77" s="34" t="s">
        <v>338</v>
      </c>
    </row>
    <row r="78" spans="3:12" ht="15.75" x14ac:dyDescent="0.25">
      <c r="D78" s="6"/>
      <c r="L78" s="34"/>
    </row>
    <row r="79" spans="3:12" ht="15.75" x14ac:dyDescent="0.25">
      <c r="D79" s="52" t="s">
        <v>250</v>
      </c>
      <c r="E79" t="s">
        <v>265</v>
      </c>
      <c r="F79"/>
      <c r="G79"/>
      <c r="H79"/>
      <c r="I79"/>
      <c r="L79" s="34" t="s">
        <v>337</v>
      </c>
    </row>
    <row r="80" spans="3:12" ht="15.75" x14ac:dyDescent="0.25">
      <c r="D80" s="7" t="s">
        <v>257</v>
      </c>
      <c r="E80">
        <v>5628000000</v>
      </c>
      <c r="F80"/>
      <c r="G80"/>
      <c r="H80"/>
      <c r="I80"/>
      <c r="L80" s="34" t="s">
        <v>339</v>
      </c>
    </row>
    <row r="81" spans="4:12" ht="15.75" x14ac:dyDescent="0.25">
      <c r="D81" s="53" t="s">
        <v>276</v>
      </c>
      <c r="E81">
        <v>1410000000</v>
      </c>
      <c r="F81"/>
      <c r="G81"/>
      <c r="H81"/>
      <c r="I81"/>
      <c r="L81" s="34" t="s">
        <v>340</v>
      </c>
    </row>
    <row r="82" spans="4:12" ht="15.75" x14ac:dyDescent="0.25">
      <c r="D82" s="53" t="s">
        <v>275</v>
      </c>
      <c r="E82">
        <v>4218000000</v>
      </c>
      <c r="F82"/>
      <c r="L82" s="22" t="s">
        <v>331</v>
      </c>
    </row>
    <row r="83" spans="4:12" ht="15.75" x14ac:dyDescent="0.25">
      <c r="D83" s="7" t="s">
        <v>280</v>
      </c>
      <c r="E83">
        <v>1682000000</v>
      </c>
      <c r="F83"/>
      <c r="L83" s="34" t="s">
        <v>341</v>
      </c>
    </row>
    <row r="84" spans="4:12" ht="15.75" x14ac:dyDescent="0.25">
      <c r="D84" s="53" t="s">
        <v>281</v>
      </c>
      <c r="E84">
        <v>1682000000</v>
      </c>
      <c r="F84"/>
      <c r="L84" s="34" t="s">
        <v>342</v>
      </c>
    </row>
    <row r="85" spans="4:12" ht="15.75" x14ac:dyDescent="0.25">
      <c r="D85" s="7" t="s">
        <v>283</v>
      </c>
      <c r="E85">
        <v>5538000000</v>
      </c>
      <c r="F85"/>
      <c r="L85" s="34" t="s">
        <v>343</v>
      </c>
    </row>
    <row r="86" spans="4:12" ht="15.75" x14ac:dyDescent="0.25">
      <c r="D86" s="53" t="s">
        <v>284</v>
      </c>
      <c r="E86">
        <v>1440000000</v>
      </c>
      <c r="F86"/>
      <c r="L86" s="34" t="s">
        <v>344</v>
      </c>
    </row>
    <row r="87" spans="4:12" ht="15.75" x14ac:dyDescent="0.25">
      <c r="D87" s="53" t="s">
        <v>285</v>
      </c>
      <c r="E87">
        <v>4098000000</v>
      </c>
      <c r="F87"/>
      <c r="L87" s="22" t="s">
        <v>332</v>
      </c>
    </row>
    <row r="88" spans="4:12" ht="15.75" x14ac:dyDescent="0.25">
      <c r="D88" s="7" t="s">
        <v>262</v>
      </c>
      <c r="E88">
        <v>5977000000</v>
      </c>
      <c r="F88"/>
      <c r="L88" s="34" t="s">
        <v>345</v>
      </c>
    </row>
    <row r="89" spans="4:12" ht="15.75" x14ac:dyDescent="0.25">
      <c r="D89" s="53" t="s">
        <v>278</v>
      </c>
      <c r="E89">
        <v>2309000000</v>
      </c>
      <c r="F89"/>
      <c r="L89" s="34" t="s">
        <v>346</v>
      </c>
    </row>
    <row r="90" spans="4:12" ht="15.75" x14ac:dyDescent="0.25">
      <c r="D90" s="53" t="s">
        <v>279</v>
      </c>
      <c r="E90">
        <v>3668000000</v>
      </c>
      <c r="F90"/>
      <c r="L90" s="34" t="s">
        <v>347</v>
      </c>
    </row>
    <row r="91" spans="4:12" ht="15.75" x14ac:dyDescent="0.25">
      <c r="D91" s="7" t="s">
        <v>271</v>
      </c>
      <c r="E91">
        <v>3129000000</v>
      </c>
      <c r="F91"/>
      <c r="L91" s="22" t="s">
        <v>333</v>
      </c>
    </row>
    <row r="92" spans="4:12" ht="15.75" x14ac:dyDescent="0.25">
      <c r="D92" s="53" t="s">
        <v>272</v>
      </c>
      <c r="E92">
        <v>1754000000</v>
      </c>
      <c r="F92"/>
      <c r="L92" s="22" t="s">
        <v>334</v>
      </c>
    </row>
    <row r="93" spans="4:12" ht="15.75" x14ac:dyDescent="0.25">
      <c r="D93" s="53" t="s">
        <v>274</v>
      </c>
      <c r="E93">
        <v>1375000000</v>
      </c>
      <c r="F93"/>
      <c r="L93" s="34" t="s">
        <v>348</v>
      </c>
    </row>
    <row r="94" spans="4:12" ht="15.75" x14ac:dyDescent="0.25">
      <c r="D94" s="7" t="s">
        <v>251</v>
      </c>
      <c r="E94">
        <v>21954000000</v>
      </c>
      <c r="F94"/>
      <c r="L94" s="22" t="s">
        <v>335</v>
      </c>
    </row>
    <row r="95" spans="4:12" x14ac:dyDescent="0.25">
      <c r="D95"/>
      <c r="E95"/>
      <c r="F95"/>
    </row>
    <row r="96" spans="4:12" x14ac:dyDescent="0.25">
      <c r="D96"/>
      <c r="E96"/>
      <c r="F96"/>
    </row>
    <row r="97" spans="4:5" x14ac:dyDescent="0.25">
      <c r="D97"/>
      <c r="E97"/>
    </row>
    <row r="98" spans="4:5" x14ac:dyDescent="0.25">
      <c r="D98"/>
      <c r="E98"/>
    </row>
    <row r="99" spans="4:5" x14ac:dyDescent="0.25">
      <c r="D99"/>
      <c r="E99"/>
    </row>
    <row r="100" spans="4:5" x14ac:dyDescent="0.25">
      <c r="D100"/>
      <c r="E100"/>
    </row>
  </sheetData>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Excel-Intermediate</vt:lpstr>
      <vt:lpstr>SheetHelp</vt:lpstr>
      <vt:lpstr>Data RAW - Pivot</vt:lpstr>
      <vt:lpstr>Data Tambahan</vt:lpstr>
      <vt:lpstr>Intermediate - 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2025-12-10T07:50:03Z</dcterms:created>
  <dcterms:modified xsi:type="dcterms:W3CDTF">2026-02-09T08:18:14Z</dcterms:modified>
</cp:coreProperties>
</file>